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name="00_README" sheetId="1" state="visible" r:id="rId1"/>
    <sheet name="01_ROADMAP" sheetId="2" state="visible" r:id="rId2"/>
    <sheet name="02_BACKLOG" sheetId="3" state="visible" r:id="rId3"/>
    <sheet name="03_WORKLOAD" sheetId="4" state="visible" r:id="rId4"/>
    <sheet name="04_RELEASE_GATES" sheetId="5" state="visible" r:id="rId5"/>
    <sheet name="05_RISKS" sheetId="6" state="visible" r:id="rId6"/>
    <sheet name="06_TRACEABILITY" sheetId="7" state="visible" r:id="rId7"/>
    <sheet name="07_DECISIONS" sheetId="8" state="visible" r:id="rId8"/>
    <sheet name="08_SOURCES" sheetId="9" state="visible" r:id="rId9"/>
    <sheet name="09_UI_ARCHITECTURE" sheetId="10" state="visible" r:id="rId10"/>
    <sheet name="10_ROUTE_MAP" sheetId="11" state="visible" r:id="rId11"/>
    <sheet name="11_COMPONENT_MAP" sheetId="12" state="visible" r:id="rId12"/>
    <sheet name="12_TEST_MATRIX" sheetId="13" state="visible" r:id="rId13"/>
    <sheet name="13_AI_EVALS" sheetId="14" state="visible" r:id="rId14"/>
    <sheet name="14_AUDIT_2026-09-07" sheetId="15" state="visible" r:id="rId15"/>
    <sheet name="15_GJETJET" sheetId="16" state="visible" r:id="rId16"/>
    <sheet name="16_HANDOFF_2_DEV" sheetId="17" state="visible" r:id="rId17"/>
  </sheets>
  <definedNames>
    <definedName name="_xlnm._FilterDatabase" localSheetId="1" hidden="1">'01_ROADMAP'!$A$4:$P$12</definedName>
    <definedName name="_xlnm._FilterDatabase" localSheetId="2" hidden="1">'02_BACKLOG'!$A$4:$AJ$189</definedName>
    <definedName name="_xlnm.Print_Titles" localSheetId="2">'02_BACKLOG'!$1:$4</definedName>
    <definedName name="_xlnm._FilterDatabase" localSheetId="4" hidden="1">'04_RELEASE_GATES'!$A$4:$I$18</definedName>
    <definedName name="_xlnm._FilterDatabase" localSheetId="5" hidden="1">'05_RISKS'!$A$4:$L$14</definedName>
    <definedName name="_xlnm._FilterDatabase" localSheetId="6" hidden="1">'06_TRACEABILITY'!$A$4:$F$24</definedName>
    <definedName name="_xlnm._FilterDatabase" localSheetId="7" hidden="1">'07_DECISIONS'!$A$4:$F$17</definedName>
    <definedName name="_xlnm._FilterDatabase" localSheetId="8" hidden="1">'08_SOURCES'!$A$4:$D$18</definedName>
    <definedName name="_xlnm._FilterDatabase" localSheetId="9" hidden="1">'09_UI_ARCHITECTURE'!$A$1:$C$12</definedName>
    <definedName name="_xlnm._FilterDatabase" localSheetId="10" hidden="1">'10_ROUTE_MAP'!$A$1:$F$21</definedName>
    <definedName name="_xlnm._FilterDatabase" localSheetId="11" hidden="1">'11_COMPONENT_MAP'!$A$1:$E$10</definedName>
    <definedName name="_xlnm._FilterDatabase" localSheetId="12" hidden="1">'12_TEST_MATRIX'!$A$1:$E$9</definedName>
    <definedName name="_xlnm._FilterDatabase" localSheetId="13" hidden="1">'13_AI_EVALS'!$A$1:$E$9</definedName>
    <definedName name="_xlnm._FilterDatabase" localSheetId="15" hidden="1">'15_GJETJET'!$A$1:$K$18</definedName>
    <definedName name="_xlnm._FilterDatabase" localSheetId="16" hidden="1">'16_HANDOFF_2_DEV'!$A$1:$K$151</definedName>
  </definedNames>
  <calcPr calcId="191028" fullCalcOnLoad="1" forceFullCalc="1"/>
</workbook>
</file>

<file path=xl/styles.xml><?xml version="1.0" encoding="utf-8"?>
<styleSheet xmlns="http://schemas.openxmlformats.org/spreadsheetml/2006/main">
  <numFmts count="2">
    <numFmt numFmtId="164" formatCode="dd\ mmm\ yyyy"/>
    <numFmt numFmtId="165" formatCode="dd\ mmm"/>
  </numFmts>
  <fonts count="32">
    <font>
      <name val="Calibri"/>
      <family val="2"/>
      <color theme="1"/>
      <sz val="11"/>
      <scheme val="minor"/>
    </font>
    <font>
      <name val="Aptos Display"/>
      <b val="1"/>
      <color rgb="FFFFFFFF"/>
      <sz val="18"/>
    </font>
    <font>
      <name val="Aptos"/>
      <b val="1"/>
      <color rgb="FF64748B"/>
      <sz val="9"/>
    </font>
    <font>
      <name val="Aptos"/>
      <color rgb="FF475569"/>
      <sz val="9"/>
    </font>
    <font>
      <name val="Aptos"/>
      <b val="1"/>
      <color rgb="FFFFFFFF"/>
      <sz val="11"/>
    </font>
    <font>
      <name val="Aptos"/>
      <b val="1"/>
      <color rgb="FF0000FF"/>
      <sz val="9"/>
    </font>
    <font>
      <name val="Aptos"/>
      <color rgb="FFC2410C"/>
      <sz val="9"/>
    </font>
    <font>
      <name val="Aptos"/>
      <b val="1"/>
      <color rgb="FF0F766E"/>
      <sz val="9"/>
    </font>
    <font>
      <name val="Aptos"/>
      <b val="1"/>
      <color rgb="FF0F172A"/>
      <sz val="9"/>
    </font>
    <font>
      <name val="Aptos"/>
      <b val="1"/>
      <color rgb="FF008000"/>
      <sz val="9"/>
    </font>
    <font>
      <name val="Aptos"/>
      <b val="1"/>
      <color rgb="FF6B7280"/>
      <sz val="9"/>
    </font>
    <font>
      <name val="Aptos"/>
      <b val="1"/>
      <color rgb="FFC2410C"/>
      <sz val="9"/>
    </font>
    <font>
      <name val="Aptos"/>
      <b val="1"/>
      <color rgb="FFDC2626"/>
      <sz val="9"/>
    </font>
    <font>
      <name val="Aptos"/>
      <b val="1"/>
      <color rgb="FF7E22CE"/>
      <sz val="9"/>
    </font>
    <font>
      <name val="Aptos"/>
      <color rgb="FF64748B"/>
      <sz val="9"/>
    </font>
    <font>
      <name val="Aptos"/>
      <b val="1"/>
      <color rgb="FFFFFFFF"/>
      <sz val="9"/>
    </font>
    <font>
      <name val="Aptos"/>
      <b val="1"/>
      <color rgb="FF475569"/>
      <sz val="9"/>
    </font>
    <font>
      <name val="Aptos"/>
      <color rgb="FF0F172A"/>
      <sz val="9"/>
    </font>
    <font>
      <name val="Aptos"/>
      <color rgb="FF6B7280"/>
      <sz val="9"/>
    </font>
    <font>
      <name val="Aptos"/>
      <color rgb="FF0000FF"/>
      <sz val="9"/>
    </font>
    <font>
      <name val="Calibri"/>
      <family val="2"/>
      <color theme="10"/>
      <sz val="12"/>
      <scheme val="minor"/>
    </font>
    <font>
      <name val="Aptos"/>
      <color rgb="FF008000"/>
      <sz val="9"/>
      <u val="single"/>
    </font>
    <font>
      <name val="Calibri"/>
      <b val="1"/>
      <color rgb="FFFFFFFF"/>
      <sz val="11"/>
    </font>
    <font>
      <name val="Calibri"/>
      <color rgb="FF374151"/>
      <sz val="9"/>
    </font>
    <font>
      <name val="Aptos"/>
      <b val="1"/>
      <color rgb="FF17324D"/>
      <sz val="10"/>
    </font>
    <font>
      <name val="Aptos"/>
      <color rgb="FF17324D"/>
      <sz val="10"/>
    </font>
    <font>
      <name val="Aptos"/>
      <color rgb="FF166534"/>
      <sz val="10"/>
      <u val="single"/>
    </font>
    <font>
      <name val="Aptos"/>
      <b val="1"/>
      <color rgb="FFFFFFFF"/>
      <sz val="13"/>
    </font>
    <font>
      <name val="Aptos"/>
      <b val="1"/>
      <color rgb="FF17324D"/>
      <sz val="11"/>
    </font>
    <font>
      <name val="Aptos"/>
      <color rgb="FF17324D"/>
      <sz val="11"/>
    </font>
    <font>
      <name val="Aptos"/>
      <b val="1"/>
      <color rgb="FFFFFFFF"/>
      <sz val="12"/>
    </font>
    <font>
      <name val="Aptos"/>
      <sz val="11"/>
    </font>
  </fonts>
  <fills count="21">
    <fill>
      <patternFill/>
    </fill>
    <fill>
      <patternFill patternType="gray125"/>
    </fill>
    <fill>
      <patternFill patternType="solid">
        <fgColor rgb="FF0F172A"/>
      </patternFill>
    </fill>
    <fill>
      <patternFill patternType="solid">
        <fgColor rgb="FF111827"/>
      </patternFill>
    </fill>
    <fill>
      <patternFill patternType="solid">
        <fgColor rgb="FFDBEAFE"/>
      </patternFill>
    </fill>
    <fill>
      <patternFill patternType="solid">
        <fgColor rgb="FFF3F4F6"/>
      </patternFill>
    </fill>
    <fill>
      <patternFill patternType="solid">
        <fgColor rgb="FFFFEDD5"/>
      </patternFill>
    </fill>
    <fill>
      <patternFill patternType="solid">
        <fgColor rgb="FFF3E8FF"/>
      </patternFill>
    </fill>
    <fill>
      <patternFill patternType="solid">
        <fgColor rgb="FFCCFBF1"/>
      </patternFill>
    </fill>
    <fill>
      <patternFill patternType="solid">
        <fgColor rgb="FF1F2937"/>
      </patternFill>
    </fill>
    <fill>
      <patternFill patternType="solid">
        <fgColor rgb="FF17324D"/>
      </patternFill>
    </fill>
    <fill>
      <patternFill patternType="solid">
        <fgColor rgb="FFFEF3C7"/>
      </patternFill>
    </fill>
    <fill>
      <patternFill patternType="solid">
        <fgColor rgb="FFF8FAFC"/>
      </patternFill>
    </fill>
    <fill>
      <patternFill patternType="solid">
        <fgColor rgb="FFFFFFFF"/>
      </patternFill>
    </fill>
    <fill>
      <patternFill patternType="solid">
        <fgColor rgb="FFF1F5F9"/>
      </patternFill>
    </fill>
    <fill>
      <patternFill patternType="solid">
        <fgColor rgb="FFDCFCE7"/>
      </patternFill>
    </fill>
    <fill>
      <patternFill patternType="solid">
        <fgColor rgb="FFEDE9FE"/>
      </patternFill>
    </fill>
    <fill>
      <patternFill patternType="solid">
        <fgColor rgb="FFFEE2E2"/>
      </patternFill>
    </fill>
    <fill>
      <patternFill patternType="solid">
        <fgColor rgb="FFBBF7D0"/>
      </patternFill>
    </fill>
    <fill>
      <patternFill patternType="solid">
        <fgColor rgb="FF173D37"/>
      </patternFill>
    </fill>
    <fill>
      <patternFill patternType="solid">
        <fgColor rgb="FFF0F6F3"/>
      </patternFill>
    </fill>
  </fills>
  <borders count="3">
    <border>
      <left/>
      <right/>
      <top/>
      <bottom/>
      <diagonal/>
    </border>
    <border>
      <left/>
      <right/>
      <top/>
      <bottom style="hair">
        <color rgb="FFCBD5E1"/>
      </bottom>
      <diagonal/>
    </border>
    <border>
      <left/>
      <right/>
      <top/>
      <bottom style="thin">
        <color rgb="FFE2E8F0"/>
      </bottom>
      <diagonal/>
    </border>
  </borders>
  <cellStyleXfs count="2">
    <xf numFmtId="0" fontId="0" fillId="0" borderId="0"/>
    <xf numFmtId="0" fontId="20" fillId="0" borderId="0"/>
  </cellStyleXfs>
  <cellXfs count="77">
    <xf numFmtId="0" fontId="0" fillId="0" borderId="0" pivotButton="0" quotePrefix="0" xfId="0"/>
    <xf numFmtId="0" fontId="2" fillId="0" borderId="0" applyAlignment="1" pivotButton="0" quotePrefix="0" xfId="0">
      <alignment vertical="top" wrapText="1"/>
    </xf>
    <xf numFmtId="164" fontId="5" fillId="4" borderId="0" applyAlignment="1" pivotButton="0" quotePrefix="0" xfId="0">
      <alignment vertical="top" wrapText="1"/>
    </xf>
    <xf numFmtId="0" fontId="5" fillId="4" borderId="0" applyAlignment="1" pivotButton="0" quotePrefix="0" xfId="0">
      <alignment vertical="top" wrapText="1"/>
    </xf>
    <xf numFmtId="9" fontId="5" fillId="4" borderId="0" applyAlignment="1" pivotButton="0" quotePrefix="0" xfId="0">
      <alignment vertical="top" wrapText="1"/>
    </xf>
    <xf numFmtId="164" fontId="3" fillId="0" borderId="0" applyAlignment="1" pivotButton="0" quotePrefix="0" xfId="0">
      <alignment vertical="top" wrapText="1"/>
    </xf>
    <xf numFmtId="0" fontId="7" fillId="0" borderId="0" applyAlignment="1" pivotButton="0" quotePrefix="0" xfId="0">
      <alignment vertical="top" wrapText="1"/>
    </xf>
    <xf numFmtId="0" fontId="10" fillId="5" borderId="0" applyAlignment="1" pivotButton="0" quotePrefix="0" xfId="0">
      <alignment vertical="top" wrapText="1"/>
    </xf>
    <xf numFmtId="0" fontId="11" fillId="6" borderId="0" applyAlignment="1" pivotButton="0" quotePrefix="0" xfId="0">
      <alignment vertical="top" wrapText="1"/>
    </xf>
    <xf numFmtId="0" fontId="13" fillId="7" borderId="0" applyAlignment="1" pivotButton="0" quotePrefix="0" xfId="0">
      <alignment vertical="top" wrapText="1"/>
    </xf>
    <xf numFmtId="0" fontId="7" fillId="8" borderId="0" applyAlignment="1" pivotButton="0" quotePrefix="0" xfId="0">
      <alignment vertical="top" wrapText="1"/>
    </xf>
    <xf numFmtId="0" fontId="15" fillId="2" borderId="0" applyAlignment="1" pivotButton="0" quotePrefix="0" xfId="0">
      <alignment vertical="center" wrapText="1"/>
    </xf>
    <xf numFmtId="0" fontId="16" fillId="0" borderId="1" applyAlignment="1" pivotButton="0" quotePrefix="0" xfId="0">
      <alignment vertical="top" wrapText="1"/>
    </xf>
    <xf numFmtId="0" fontId="3" fillId="0" borderId="1" applyAlignment="1" pivotButton="0" quotePrefix="0" xfId="0">
      <alignment vertical="top" wrapText="1"/>
    </xf>
    <xf numFmtId="165" fontId="3" fillId="0" borderId="1" applyAlignment="1" pivotButton="0" quotePrefix="0" xfId="0">
      <alignment vertical="top" wrapText="1"/>
    </xf>
    <xf numFmtId="0" fontId="17" fillId="0" borderId="1" applyAlignment="1" pivotButton="0" quotePrefix="0" xfId="0">
      <alignment vertical="top" wrapText="1"/>
    </xf>
    <xf numFmtId="9" fontId="17" fillId="0" borderId="1" applyAlignment="1" pivotButton="0" quotePrefix="0" xfId="0">
      <alignment vertical="top" wrapText="1"/>
    </xf>
    <xf numFmtId="0" fontId="10" fillId="0" borderId="1" applyAlignment="1" pivotButton="0" quotePrefix="0" xfId="0">
      <alignment vertical="top" wrapText="1"/>
    </xf>
    <xf numFmtId="0" fontId="18" fillId="0" borderId="1" applyAlignment="1" pivotButton="0" quotePrefix="0" xfId="0">
      <alignment vertical="top" wrapText="1"/>
    </xf>
    <xf numFmtId="0" fontId="19" fillId="4" borderId="1" applyAlignment="1" pivotButton="0" quotePrefix="0" xfId="0">
      <alignment vertical="top" wrapText="1"/>
    </xf>
    <xf numFmtId="0" fontId="8" fillId="0" borderId="1" applyAlignment="1" pivotButton="0" quotePrefix="0" xfId="0">
      <alignment vertical="top" wrapText="1"/>
    </xf>
    <xf numFmtId="0" fontId="18" fillId="6" borderId="1" applyAlignment="1" pivotButton="0" quotePrefix="0" xfId="0">
      <alignment vertical="top" wrapText="1"/>
    </xf>
    <xf numFmtId="0" fontId="21" fillId="0" borderId="1" pivotButton="0" quotePrefix="0" xfId="1"/>
    <xf numFmtId="0" fontId="15" fillId="2" borderId="0" applyAlignment="1" pivotButton="0" quotePrefix="0" xfId="0">
      <alignment horizontal="center" vertical="center" wrapText="1"/>
    </xf>
    <xf numFmtId="0" fontId="22" fillId="3" borderId="0" applyAlignment="1" pivotButton="0" quotePrefix="0" xfId="0">
      <alignment vertical="center" wrapText="1"/>
    </xf>
    <xf numFmtId="0" fontId="23" fillId="0" borderId="0" applyAlignment="1" pivotButton="0" quotePrefix="0" xfId="0">
      <alignment vertical="top" wrapText="1"/>
    </xf>
    <xf numFmtId="0" fontId="22" fillId="9" borderId="0" applyAlignment="1" pivotButton="0" quotePrefix="0" xfId="0">
      <alignment vertical="center" wrapText="1"/>
    </xf>
    <xf numFmtId="0" fontId="0" fillId="0" borderId="0" applyAlignment="1" pivotButton="0" quotePrefix="0" xfId="0">
      <alignment vertical="top" wrapText="1"/>
    </xf>
    <xf numFmtId="0" fontId="19" fillId="11" borderId="1" applyAlignment="1" pivotButton="0" quotePrefix="0" xfId="0">
      <alignment vertical="top" wrapText="1"/>
    </xf>
    <xf numFmtId="0" fontId="26" fillId="4" borderId="1" applyAlignment="1" pivotButton="0" quotePrefix="0" xfId="0">
      <alignment vertical="top" wrapText="1"/>
    </xf>
    <xf numFmtId="0" fontId="19" fillId="14" borderId="1" applyAlignment="1" pivotButton="0" quotePrefix="0" xfId="0">
      <alignment vertical="top" wrapText="1"/>
    </xf>
    <xf numFmtId="0" fontId="19" fillId="15" borderId="1" applyAlignment="1" pivotButton="0" quotePrefix="0" xfId="0">
      <alignment vertical="top" wrapText="1"/>
    </xf>
    <xf numFmtId="0" fontId="19" fillId="16" borderId="1" applyAlignment="1" pivotButton="0" quotePrefix="0" xfId="0">
      <alignment vertical="top" wrapText="1"/>
    </xf>
    <xf numFmtId="0" fontId="19" fillId="17" borderId="1" applyAlignment="1" pivotButton="0" quotePrefix="0" xfId="0">
      <alignment vertical="top" wrapText="1"/>
    </xf>
    <xf numFmtId="0" fontId="31" fillId="20" borderId="0" applyAlignment="1" pivotButton="0" quotePrefix="0" xfId="0">
      <alignment vertical="top" wrapText="1"/>
    </xf>
    <xf numFmtId="0" fontId="31" fillId="13" borderId="0" applyAlignment="1" pivotButton="0" quotePrefix="0" xfId="0">
      <alignment vertical="top" wrapText="1"/>
    </xf>
    <xf numFmtId="0" fontId="30" fillId="10" borderId="2" applyAlignment="1" pivotButton="0" quotePrefix="0" xfId="0">
      <alignment vertical="top" wrapText="1"/>
    </xf>
    <xf numFmtId="0" fontId="28" fillId="0" borderId="2" applyAlignment="1" pivotButton="0" quotePrefix="0" xfId="0">
      <alignment vertical="top" wrapText="1"/>
    </xf>
    <xf numFmtId="0" fontId="29" fillId="0" borderId="2" applyAlignment="1" pivotButton="0" quotePrefix="0" xfId="0">
      <alignment vertical="top" wrapText="1"/>
    </xf>
    <xf numFmtId="0" fontId="14" fillId="0" borderId="0" applyAlignment="1" pivotButton="0" quotePrefix="0" xfId="0">
      <alignment vertical="top" wrapText="1"/>
    </xf>
    <xf numFmtId="0" fontId="1" fillId="2"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0" applyAlignment="1" pivotButton="0" quotePrefix="0" xfId="0">
      <alignment vertical="center"/>
    </xf>
    <xf numFmtId="0" fontId="6" fillId="0" borderId="0" applyAlignment="1" pivotButton="0" quotePrefix="0" xfId="0">
      <alignment vertical="top" wrapText="1"/>
    </xf>
    <xf numFmtId="0" fontId="29" fillId="0" borderId="2" applyAlignment="1" pivotButton="0" quotePrefix="0" xfId="0">
      <alignment vertical="top" wrapText="1"/>
    </xf>
    <xf numFmtId="0" fontId="30" fillId="10" borderId="2" applyAlignment="1" pivotButton="0" quotePrefix="0" xfId="0">
      <alignment vertical="top" wrapText="1"/>
    </xf>
    <xf numFmtId="0" fontId="28" fillId="0" borderId="2" applyAlignment="1" pivotButton="0" quotePrefix="0" xfId="0">
      <alignment vertical="top" wrapText="1"/>
    </xf>
    <xf numFmtId="0" fontId="0" fillId="0" borderId="0" pivotButton="0" quotePrefix="0" xfId="0"/>
    <xf numFmtId="0" fontId="8" fillId="13" borderId="0" applyAlignment="1" pivotButton="0" quotePrefix="0" xfId="0">
      <alignment vertical="top" wrapText="1"/>
    </xf>
    <xf numFmtId="0" fontId="9" fillId="15" borderId="0" applyAlignment="1" pivotButton="0" quotePrefix="0" xfId="0">
      <alignment vertical="top" wrapText="1"/>
    </xf>
    <xf numFmtId="0" fontId="12" fillId="17" borderId="0" applyAlignment="1" pivotButton="0" quotePrefix="0" xfId="0">
      <alignment vertical="top" wrapText="1"/>
    </xf>
    <xf numFmtId="0" fontId="27" fillId="10" borderId="0" pivotButton="0" quotePrefix="0" xfId="0"/>
    <xf numFmtId="0" fontId="4" fillId="10" borderId="0" applyAlignment="1" pivotButton="0" quotePrefix="0" xfId="0">
      <alignment vertical="center" wrapText="1"/>
    </xf>
    <xf numFmtId="0" fontId="24" fillId="11" borderId="2" applyAlignment="1" pivotButton="0" quotePrefix="0" xfId="0">
      <alignment vertical="top" wrapText="1"/>
    </xf>
    <xf numFmtId="0" fontId="25" fillId="12" borderId="2" applyAlignment="1" pivotButton="0" quotePrefix="0" xfId="0">
      <alignment vertical="top" wrapText="1"/>
    </xf>
    <xf numFmtId="0" fontId="25" fillId="13" borderId="2" applyAlignment="1" pivotButton="0" quotePrefix="0" xfId="0">
      <alignment vertical="top" wrapText="1"/>
    </xf>
    <xf numFmtId="0" fontId="24"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xf numFmtId="0" fontId="24" fillId="17" borderId="2" applyAlignment="1" pivotButton="0" quotePrefix="0" xfId="0">
      <alignment vertical="top" wrapText="1"/>
    </xf>
    <xf numFmtId="0" fontId="18" fillId="15" borderId="1" applyAlignment="1" pivotButton="0" quotePrefix="0" xfId="0">
      <alignment vertical="top" wrapText="1"/>
    </xf>
    <xf numFmtId="0" fontId="25" fillId="0" borderId="2" applyAlignment="1" pivotButton="0" quotePrefix="0" xfId="0">
      <alignment vertical="top" wrapText="1"/>
    </xf>
    <xf numFmtId="0" fontId="0" fillId="0" borderId="2" pivotButton="0" quotePrefix="0" xfId="0"/>
    <xf numFmtId="0" fontId="28" fillId="15" borderId="2" applyAlignment="1" pivotButton="0" quotePrefix="0" xfId="0">
      <alignment vertical="top" wrapText="1"/>
    </xf>
    <xf numFmtId="0" fontId="29" fillId="15" borderId="2" applyAlignment="1" pivotButton="0" quotePrefix="0" xfId="0">
      <alignment vertical="top" wrapText="1"/>
    </xf>
    <xf numFmtId="0" fontId="28" fillId="11" borderId="2" applyAlignment="1" pivotButton="0" quotePrefix="0" xfId="0">
      <alignment vertical="top" wrapText="1"/>
    </xf>
    <xf numFmtId="0" fontId="29" fillId="11" borderId="2" applyAlignment="1" pivotButton="0" quotePrefix="0" xfId="0">
      <alignment vertical="top" wrapText="1"/>
    </xf>
    <xf numFmtId="0" fontId="28" fillId="14" borderId="2" applyAlignment="1" pivotButton="0" quotePrefix="0" xfId="0">
      <alignment vertical="top" wrapText="1"/>
    </xf>
    <xf numFmtId="0" fontId="29" fillId="14" borderId="2" applyAlignment="1" pivotButton="0" quotePrefix="0" xfId="0">
      <alignment vertical="top" wrapText="1"/>
    </xf>
    <xf numFmtId="0" fontId="28" fillId="17" borderId="2" applyAlignment="1" pivotButton="0" quotePrefix="0" xfId="0">
      <alignment vertical="top" wrapText="1"/>
    </xf>
    <xf numFmtId="0" fontId="29" fillId="17" borderId="2" applyAlignment="1" pivotButton="0" quotePrefix="0" xfId="0">
      <alignment vertical="top" wrapText="1"/>
    </xf>
    <xf numFmtId="0" fontId="28" fillId="16" borderId="2" applyAlignment="1" pivotButton="0" quotePrefix="0" xfId="0">
      <alignment vertical="top" wrapText="1"/>
    </xf>
    <xf numFmtId="0" fontId="29" fillId="16" borderId="2" applyAlignment="1" pivotButton="0" quotePrefix="0" xfId="0">
      <alignment vertical="top" wrapText="1"/>
    </xf>
    <xf numFmtId="0" fontId="28" fillId="18" borderId="2" applyAlignment="1" pivotButton="0" quotePrefix="0" xfId="0">
      <alignment vertical="top" wrapText="1"/>
    </xf>
    <xf numFmtId="0" fontId="29" fillId="18" borderId="2" applyAlignment="1" pivotButton="0" quotePrefix="0" xfId="0">
      <alignment vertical="top" wrapText="1"/>
    </xf>
    <xf numFmtId="0" fontId="4" fillId="19" borderId="0" applyAlignment="1" pivotButton="0" quotePrefix="0" xfId="0">
      <alignment vertical="center" wrapText="1"/>
    </xf>
  </cellXfs>
  <cellStyles count="2">
    <cellStyle name="Normal" xfId="0" builtinId="0"/>
    <cellStyle name="Hyperlink" xfId="1" builtinId="8"/>
  </cellStyles>
  <dxfs count="15">
    <dxf>
      <fill>
        <patternFill patternType="solid">
          <fgColor rgb="FFFFEDD5"/>
        </patternFill>
      </fill>
    </dxf>
    <dxf>
      <fill>
        <patternFill patternType="solid">
          <fgColor rgb="FFFEE2E2"/>
        </patternFill>
      </fill>
    </dxf>
    <dxf>
      <fill>
        <patternFill patternType="solid">
          <fgColor rgb="FFFEE2E2"/>
        </patternFill>
      </fill>
    </dxf>
    <dxf>
      <fill>
        <patternFill patternType="solid">
          <fgColor rgb="FFDCFCE7"/>
        </patternFill>
      </fill>
    </dxf>
    <dxf>
      <fill>
        <patternFill patternType="solid">
          <fgColor rgb="FFFEE2E2"/>
        </patternFill>
      </fill>
    </dxf>
    <dxf>
      <fill>
        <patternFill patternType="solid">
          <fgColor rgb="FFFEE2E2"/>
        </patternFill>
      </fill>
    </dxf>
    <dxf>
      <fill>
        <patternFill patternType="solid">
          <fgColor rgb="FFFEE2E2"/>
        </patternFill>
      </fill>
    </dxf>
    <dxf>
      <fill>
        <patternFill patternType="solid">
          <fgColor rgb="FFBBF7D0"/>
        </patternFill>
      </fill>
    </dxf>
    <dxf>
      <fill>
        <patternFill patternType="solid">
          <fgColor rgb="FFEDE9FE"/>
        </patternFill>
      </fill>
    </dxf>
    <dxf>
      <fill>
        <patternFill patternType="solid">
          <fgColor rgb="FFFEE2E2"/>
        </patternFill>
      </fill>
    </dxf>
    <dxf>
      <fill>
        <patternFill patternType="solid">
          <fgColor rgb="FFF1F5F9"/>
        </patternFill>
      </fill>
    </dxf>
    <dxf>
      <fill>
        <patternFill patternType="solid">
          <fgColor rgb="FFFEF3C7"/>
        </patternFill>
      </fill>
    </dxf>
    <dxf>
      <fill>
        <patternFill patternType="solid">
          <fgColor rgb="FFDCFCE7"/>
        </patternFill>
      </fill>
    </dxf>
    <dxf>
      <fill>
        <patternFill patternType="solid">
          <fgColor rgb="FFFFEDD5"/>
        </patternFill>
      </fill>
    </dxf>
    <dxf>
      <fill>
        <patternFill patternType="solid">
          <fgColor rgb="FF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OpenAI</author>
  </authors>
  <commentList>
    <comment ref="B6" authorId="0" shapeId="0">
      <text>
        <t>Technology baseline sources are listed in 08_SOURCES and the companion DOCX Appendix E.</t>
      </text>
    </comment>
    <comment ref="B7" authorId="0" shapeId="0">
      <text>
        <t>Security baseline references OWASP ASVS 5.0.0 and OWASP API Security Top 10. See 08_SOURCES.</t>
      </text>
    </comment>
  </commentList>
</comments>
</file>

<file path=xl/comments/comment2.xml><?xml version="1.0" encoding="utf-8"?>
<comments xmlns="http://schemas.openxmlformats.org/spreadsheetml/2006/main">
  <authors>
    <author>Rrit — audit</author>
    <author>Codex</author>
  </authors>
  <commentList>
    <comment ref="L4" authorId="0" shapeId="0">
      <text>
        <t>Status kontraktual: Done kërkon acceptance criteria, prova dhe gates. In Review: implementimi kryesor i scope-it aktual është në kod, por pranim/teste të plota mbeten. Shiko Y/Z për gjendjen reale; kjo nuk është përqindje gatishmërie prodhimi.</t>
      </text>
    </comment>
    <comment ref="M4" authorId="0" shapeId="0">
      <text>
        <t>Kjo kolonë ruan llojin e provës së KËRKUAR nga plani. Nuk është deklaratë që prova ka kaluar. Evidenca e auditit është në S dhe Z.</t>
      </text>
    </comment>
    <comment ref="AA4" authorId="1" shapeId="0">
      <text>
        <t>Hapa të mbetur për çdo task; DA-xx lidhen me sheet 15_GJETJET. Deferred nuk do të thotë Done.</t>
      </text>
    </comment>
    <comment ref="AB4" authorId="1" shapeId="0">
      <text>
        <t>Testet/kriteret e pritshme. Rezultatet e ekzekutuara janë vetëm në AC.</t>
      </text>
    </comment>
    <comment ref="L5" authorId="0" shapeId="0">
      <text>
        <t>Status para auditit: Not Started
Audit: 2026-09-07
Ekziston ADR për demonstrimin e frontend-it dhe dokumente scope-i.
Mbetet: ADR i arkitekturës reale Nitro/Better Auth/PostgreSQL, kufijtë e moduleve/worker-it dhe rishikimi formal mungojnë. ADR i demonstrimit është i vjetruar.</t>
      </text>
    </comment>
    <comment ref="S5" authorId="1" shapeId="0">
      <text>
        <t>Burim i rishikimit, jo deklaratë se Test Evidence M është kaluar.</t>
      </text>
    </comment>
    <comment ref="L6" authorId="0" shapeId="0">
      <text>
        <t>Status para auditit: Not Started
Audit: 2026-09-07
API Nitro funksionale dhe publisher në plugin serveri; PostgreSQL përdoret realisht.
Mbetet: Plani FastAPI/worker të ndarë nuk është zbatuar. Duhet vendim i dokumentuar për arkitekturën, health/readiness endpoints dhe paketim/deploy i worker-it.</t>
      </text>
    </comment>
    <comment ref="S6" authorId="1" shapeId="0">
      <text>
        <t>Burim i rishikimit, jo deklaratë se Test Evidence M është kaluar.</t>
      </text>
    </comment>
    <comment ref="L7" authorId="0" shapeId="0">
      <text>
        <t>Status para auditit: Not Started
Audit: 2026-09-07
Nuk ka pyproject, lock Python, Ruff apo pytest për backend-in e planifikuar.
Mbetet: Përshtat toolchain-in me vendimin e arkitekturës; Python aktual përdoret vetëm për këtë audit të Excel-it, jo si backend.</t>
      </text>
    </comment>
    <comment ref="S7" authorId="1" shapeId="0">
      <text>
        <t>Burim i rishikimit, jo deklaratë se Test Evidence M është kaluar.</t>
      </text>
    </comment>
    <comment ref="L8" authorId="0" shapeId="0">
      <text>
        <t>Status para auditit: Not Started
Audit: 2026-09-07
PostgreSQL lokal në Docker dhe 7 migrime SQL; runner me checksum, transaksione dhe advisory lock. Skema e provave krijohet nga zero.
Mbetet: Staging/prod, ndarja e roleve migration/runtime, dry-run dhe dokumentimi operacional; Supabase nuk përdoret në implementimin aktual.</t>
      </text>
    </comment>
    <comment ref="S8" authorId="1" shapeId="0">
      <text>
        <t>Burim i rishikimit, jo deklaratë se Test Evidence M është kaluar.</t>
      </text>
    </comment>
    <comment ref="L9" authorId="0" shapeId="0">
      <text>
        <t>Status para auditit: Not Started
Audit: 2026-09-07
Izolimi aktual bëhet me owner_id/business_id në query-t e aplikacionit.
Mbetet: RLS në tabelat tenant, rol runtime i kufizuar, transaction context dhe suite negative e detyrueshme në CI nuk janë implementuar.</t>
      </text>
    </comment>
    <comment ref="S9" authorId="1" shapeId="0">
      <text>
        <t>Burim i rishikimit, jo deklaratë se Test Evidence M është kaluar.</t>
      </text>
    </comment>
    <comment ref="L10" authorId="0" shapeId="0">
      <text>
        <t>Status para auditit: Not Started
Audit: 2026-09-07
Izolimi aktual bëhet me owner_id/business_id në query-t e aplikacionit.
Mbetet: RLS në tabelat tenant, rol runtime i kufizuar, transaction context dhe suite negative e detyrueshme në CI nuk janë implementuar.</t>
      </text>
    </comment>
    <comment ref="S10" authorId="1" shapeId="0">
      <text>
        <t>Burim i rishikimit, jo deklaratë se Test Evidence M është kaluar.</t>
      </text>
    </comment>
    <comment ref="L11" authorId="0" shapeId="0">
      <text>
        <t>Status para auditit: Not Started
Audit: 2026-09-07
Better Auth me sesione në PostgreSQL, cookies dhe kontroll serveri për përdoruesin.
Mbetet: Kontrata origjinale Supabase JWT/JWKS nuk ekziston; dokumento zëvendësimin dhe plotëso provat e expiry/revokimit/redirects e sigurisë së sesionit.</t>
      </text>
    </comment>
    <comment ref="S11" authorId="1" shapeId="0">
      <text>
        <t>Burim i rishikimit, jo deklaratë se Test Evidence M është kaluar.</t>
      </text>
    </comment>
    <comment ref="L12" authorId="0" shapeId="0">
      <text>
        <t>Status para auditit: Not Started
Audit: 2026-09-07
publication_jobs ruhet në PostgreSQL; worker merr punë me lock dhe përditëson gjendjen.
Mbetet: Nuk ka outbox/pgmq/JobEnvelope apo consumer të përgjithshëm; duhen prova crash/duplicate/concurrency dhe deploy i qëndrueshëm.</t>
      </text>
    </comment>
    <comment ref="S12" authorId="1" shapeId="0">
      <text>
        <t>Burim i rishikimit, jo deklaratë se Test Evidence M është kaluar.</t>
      </text>
    </comment>
    <comment ref="L13" authorId="0" shapeId="0">
      <text>
        <t>Status para auditit: Not Started
Audit: 2026-09-07
Workflow për lint/types/unit/build/audit/E2E dhe artifacts ekziston.
Mbetet: Workflow nuk provisionon PostgreSQL/SMTP/env/migrimet që kërkojnë testet aktuale; mungojnë RLS/secret/container checks dhe provë hosted required checks. Nuk ka .git në këtë workspace.</t>
      </text>
    </comment>
    <comment ref="S13" authorId="1" shapeId="0">
      <text>
        <t>Burim i rishikimit, jo deklaratë se Test Evidence M është kaluar.</t>
      </text>
    </comment>
    <comment ref="L14" authorId="0" shapeId="0">
      <text>
        <t>Status para auditit: Not Started
Audit: 2026-09-07
Nuxt 4.5.2, Nuxt UI 4.11.0, TypeScript strict dhe lockfile; kontrollet e fundit app/server types kaluan.
Mbetet: Build/clean install i kodit aktual dhe Node 24 duhen provuar: node lokal raporton v26.5.0 dhe .nvmrc mungon në disk pavarësisht README. RG-01 mbetet i hapur.</t>
      </text>
    </comment>
    <comment ref="S14" authorId="1" shapeId="0">
      <text>
        <t>Burim i rishikimit, jo deklaratë se Test Evidence M është kaluar.</t>
      </text>
    </comment>
    <comment ref="L15" authorId="0" shapeId="0">
      <text>
        <t>Status para auditit: Not Started
Audit: 2026-09-07
Temë Nuxt UI, light/dark, Inter lokal, ikona lokale dhe logo SVG transparente; dashboard dhe landing të unifikuara.
Mbetet: Ka ende konstante stili në komponentë; duhet rishikim kontrasti/dark mode dhe provë vizuale e versionit aktual.</t>
      </text>
    </comment>
    <comment ref="S15" authorId="1" shapeId="0">
      <text>
        <t>Burim i rishikimit, jo deklaratë se Test Evidence M është kaluar.</t>
      </text>
    </comment>
    <comment ref="L16" authorId="0" shapeId="0">
      <text>
        <t>Status para auditit: Not Started
Audit: 2026-09-07
Shell me USidebar/UDashboardPanel, navigim, kërkim, kontekst biznesi real, collapse dhe pamje mobile.
Mbetet: Për scope-in me një biznes për pronar, kodi është implementuar. Mbeten pranim i plotë keyboard/tablet/a11y dhe RG-14; multi-org switcher është jashtë rrjedhës aktuale.</t>
      </text>
    </comment>
    <comment ref="S16" authorId="1" shapeId="0">
      <text>
        <t>Burim i rishikimit, jo deklaratë se Test Evidence M është kaluar.</t>
      </text>
    </comment>
    <comment ref="E17" authorId="0" shapeId="0">
      <text>
        <t>Para auditit 2026-09-07:
Build Supabase Auth client integration and pages for signup, email verify, login, forgot/reset password and session-expired handling.
Arsyeja: Përshtatur me kërkesat e shprehura: Nuxt UI, biznes real/PostgreSQL, pa demo, EUR/trial, Meta opsionale. Kriteret e sigurisë/prodhimit mbeten të hapura.</t>
      </text>
    </comment>
    <comment ref="F17" authorId="0" shapeId="0">
      <text>
        <t>Para auditit 2026-09-07:
Happy/error/expired flows work against local/staging auth; redirects are safe; session clears on logout.
Arsyeja: Përshtatur me kërkesat e shprehura: Nuxt UI, biznes real/PostgreSQL, pa demo, EUR/trial, Meta opsionale. Kriteret e sigurisë/prodhimit mbeten të hapura.</t>
      </text>
    </comment>
    <comment ref="L17" authorId="0" shapeId="0">
      <text>
        <t>Status para auditit: Not Started
Audit: 2026-09-07
Regjistrim/hyrje/dalje real me Better Auth; verify/reset/recovery UI; localhost dhe 127.0.0.1 lejohen; bypass i verifikimit vetëm lokal.
Mbetet: Prova aktuale e signup/login është lokale; duhen skenarët verify/reset/expired/error në staging dhe email delivery real. Mos shëno Supabase Auth si të implementuar.</t>
      </text>
    </comment>
    <comment ref="S17" authorId="1" shapeId="0">
      <text>
        <t>Burim i rishikimit, jo deklaratë se Test Evidence M është kaluar.</t>
      </text>
    </comment>
    <comment ref="L18" authorId="0" shapeId="0">
      <text>
        <t>Status para auditit: Not Started
Audit: 2026-09-07
Landing SSR me Nuxt UI, navigim responsive, CTA reale, çmime nga API dhe motion me reduced-motion.
Mbetet: Matje aktuale Lighthouse/LCP në build prodhimi, responsive 360px dhe audit i pretendimeve tregtare/SEO.</t>
      </text>
    </comment>
    <comment ref="S18" authorId="1" shapeId="0">
      <text>
        <t>Burim i rishikimit, jo deklaratë se Test Evidence M është kaluar.</t>
      </text>
    </comment>
    <comment ref="L19" authorId="0" shapeId="0">
      <text>
        <t>Status para auditit: Not Started
Audit: 2026-09-07
Tipe nga Zod/Nitro dhe një composable transporti bazë.
Mbetet: Nuk ka OpenAPI export/client generation, contract diff apo Problem/request-id të unifikuar; useApi nuk është transporti i vetëm i rrjedhave.</t>
      </text>
    </comment>
    <comment ref="S19" authorId="1" shapeId="0">
      <text>
        <t>Burim i rishikimit, jo deklaratë se Test Evidence M është kaluar.</t>
      </text>
    </comment>
    <comment ref="L20" authorId="0" shapeId="0">
      <text>
        <t>Status para auditit: Not Started
Audit: 2026-09-07
Workflow për lint/types/unit/build/audit/E2E dhe artifacts ekziston.
Mbetet: Workflow nuk provisionon PostgreSQL/SMTP/env/migrimet që kërkojnë testet aktuale; mungojnë RLS/secret/container checks dhe provë hosted required checks. Nuk ka .git në këtë workspace.</t>
      </text>
    </comment>
    <comment ref="S20" authorId="1" shapeId="0">
      <text>
        <t>Burim i rishikimit, jo deklaratë se Test Evidence M është kaluar.</t>
      </text>
    </comment>
    <comment ref="L21" authorId="0" shapeId="0">
      <text>
        <t>Status para auditit: Not Started
Audit: 2026-09-07
Playwright ka desktop/mobile Chromium, llogari reale testimi, screenshot/trace on failure; 2 prova të reja kalendari kaluan.
Mbetet: CI për testet me DB nuk është gati; duhet cleanup determinist i llogarive testuese dhe provë hosted CI.</t>
      </text>
    </comment>
    <comment ref="S21" authorId="1" shapeId="0">
      <text>
        <t>Burim i rishikimit, jo deklaratë se Test Evidence M është kaluar.</t>
      </text>
    </comment>
    <comment ref="L22" authorId="0" shapeId="0">
      <text>
        <t>Status para auditit: Not Started
Audit: 2026-09-07
Nuxt UI primitives, labels/focus dhe reduced-motion ekzistojnë; axe është në testet live dhe provat e fundit mbulojnë desktop/mobile pa overflow.
Mbetet: Raporti i vjetër me demo nuk pranon kodin aktual. Duhet rerun i plotë axe, keyboard/screen-reader, contrast dhe checklist manual për rrjedhat reale.</t>
      </text>
    </comment>
    <comment ref="S22" authorId="1" shapeId="0">
      <text>
        <t>Burim i rishikimit, jo deklaratë se Test Evidence M është kaluar.</t>
      </text>
    </comment>
    <comment ref="L23" authorId="0" shapeId="0">
      <text>
        <t>Status para auditit: Not Started
Audit: 2026-09-07
Krijimi atomik i biznesit me pronar unik dhe trial; read/update kontrollon owner.
Mbetet: Nuk ka organizations+memberships si domain i veçantë, as RLS/role matrix apo lifecycle i plotë organizate.</t>
      </text>
    </comment>
    <comment ref="S23" authorId="1" shapeId="0">
      <text>
        <t>Burim i rishikimit, jo deklaratë se Test Evidence M është kaluar.</t>
      </text>
    </comment>
    <comment ref="L24" authorId="0" shapeId="0">
      <text>
        <t>Status para auditit: Not Started
Audit: 2026-09-07
Ekipi, ftesat dhe qasja multi-brand janë shtyrë nga rrjedha aktive sipas fokusit vetëm te postimet.
Mbetet: Rihapen bashkë me ekip/agency: tokenë ftese, role, last-owner guards dhe tenant/brand negative tests. Nuk janë përfunduar.</t>
      </text>
    </comment>
    <comment ref="S24" authorId="1" shapeId="0">
      <text>
        <t>Burim i rishikimit, jo deklaratë se Test Evidence M është kaluar.</t>
      </text>
    </comment>
    <comment ref="V24" authorId="0" shapeId="0">
      <text>
        <t>Para auditit 2026-09-07:
GA
Arsyeja: Kërkesa e përdoruesit: vetëm postime; ekip/fushata/analitikë shtyhen, nuk shënohen Done.</t>
      </text>
    </comment>
    <comment ref="L25" authorId="0" shapeId="0">
      <text>
        <t>Status para auditit: Not Started
Audit: 2026-09-07
requireUser dhe kontrolle owner/business në server; veprimet e paautorizuara bllokohen.
Mbetet: Mungon AuthorizationService me Owner/Admin/Marketer/Approver/Analyst/Billing dhe matrica e provuar. Kjo kërkesë enterprise mbetet e hapur.</t>
      </text>
    </comment>
    <comment ref="S25" authorId="1" shapeId="0">
      <text>
        <t>Burim i rishikimit, jo deklaratë se Test Evidence M është kaluar.</t>
      </text>
    </comment>
    <comment ref="L26" authorId="0" shapeId="0">
      <text>
        <t>Status para auditit: Not Started
Audit: 2026-09-07
Ekipi, ftesat dhe qasja multi-brand janë shtyrë nga rrjedha aktive sipas fokusit vetëm te postimet.
Mbetet: Rihapen bashkë me ekip/agency: tokenë ftese, role, last-owner guards dhe tenant/brand negative tests. Nuk janë përfunduar.</t>
      </text>
    </comment>
    <comment ref="S26" authorId="1" shapeId="0">
      <text>
        <t>Burim i rishikimit, jo deklaratë se Test Evidence M është kaluar.</t>
      </text>
    </comment>
    <comment ref="V26" authorId="0" shapeId="0">
      <text>
        <t>Para auditit 2026-09-07:
GA
Arsyeja: Kërkesa e përdoruesit: vetëm postime; ekip/fushata/analitikë shtyhen, nuk shënohen Done.</t>
      </text>
    </comment>
    <comment ref="L27" authorId="0" shapeId="0">
      <text>
        <t>Status para auditit: Not Started
Audit: 2026-09-07
Profili i biznesit, zëri, audienca, facts dhe timezone ruhen në PostgreSQL; IANA timezone validohet.
Mbetet: Brand si nën-entitet i org, multi-brand, archive/delete dhe RLS nuk janë implementuar.</t>
      </text>
    </comment>
    <comment ref="S27" authorId="1" shapeId="0">
      <text>
        <t>Burim i rishikimit, jo deklaratë se Test Evidence M është kaluar.</t>
      </text>
    </comment>
    <comment ref="L28" authorId="0" shapeId="0">
      <text>
        <t>Status para auditit: Not Started
Audit: 2026-09-07
Facts kanë text/source/verified dhe profili ruan voice/audience.
Mbetet: Nuk ka fact lifecycle/candidates/confidence, voice versions, oferta me afat/monedhë apo guardrails domain. Checkbox verified nuk është verifikim i pavarur.</t>
      </text>
    </comment>
    <comment ref="S28" authorId="1" shapeId="0">
      <text>
        <t>Burim i rishikimit, jo deklaratë se Test Evidence M është kaluar.</t>
      </text>
    </comment>
    <comment ref="E29" authorId="0" shapeId="0">
      <text>
        <t>Para auditit 2026-09-07:
Define entitlement keys/types, plan/version schema and resolver interface with local seed plans; no payment provider yet.
Arsyeja: Përshtatur me kërkesat e shprehura: Nuxt UI, biznes real/PostgreSQL, pa demo, EUR/trial, Meta opsionale. Kriteret e sigurisë/prodhimit mbeten të hapura.</t>
      </text>
    </comment>
    <comment ref="F29" authorId="0" shapeId="0">
      <text>
        <t>Para auditit 2026-09-07:
Feature check returns typed value/limit; unknown entitlement fails safe; plan rules not hardcoded in feature modules.
Arsyeja: Përshtatur me kërkesat e shprehura: Nuxt UI, biznes real/PostgreSQL, pa demo, EUR/trial, Meta opsionale. Kriteret e sigurisë/prodhimit mbeten të hapura.</t>
      </text>
    </comment>
    <comment ref="L29" authorId="0" shapeId="0">
      <text>
        <t>Status para auditit: Not Started
Audit: 2026-09-07
Trial 72-orësh dhe feature entitlements në DB; bllokim nga email/device/Meta identities; expiry dhe paid entitlements testohen.
Mbetet: Mungojnë katalog i tipizuar i limiteve për plan/version, subscriptions dhe fail-safe schema e plotë. Shërbimet e pakonfiguruara nuk aktivizohen vetëm sepse trial jep entitlement.</t>
      </text>
    </comment>
    <comment ref="S29" authorId="1" shapeId="0">
      <text>
        <t>Burim i rishikimit, jo deklaratë se Test Evidence M është kaluar.</t>
      </text>
    </comment>
    <comment ref="L30" authorId="0" shapeId="0">
      <text>
        <t>Status para auditit: Not Started
Audit: 2026-09-07
audit_events shkruhen për workspace.updated dhe rezultatet e publikimit me actor/revision.
Mbetet: Nuk ka append-only permissions, resource/result të plotë apo hooks për të gjitha veprimet auth/Meta/approval.</t>
      </text>
    </comment>
    <comment ref="S30" authorId="1" shapeId="0">
      <text>
        <t>Burim i rishikimit, jo deklaratë se Test Evidence M është kaluar.</t>
      </text>
    </comment>
    <comment ref="L31" authorId="0" shapeId="0">
      <text>
        <t>Status para auditit: Not Started
Audit: 2026-09-07
Disa prova tenant ownership për media dhe trial identity isolation; endpoint-et filtrojnë biznesin e pronarit.
Mbetet: Mungon matricë allow/cross-tenant/role deny për çdo resource dhe RLS test harness në CI.</t>
      </text>
    </comment>
    <comment ref="S31" authorId="1" shapeId="0">
      <text>
        <t>Burim i rishikimit, jo deklaratë se Test Evidence M është kaluar.</t>
      </text>
    </comment>
    <comment ref="L32" authorId="0" shapeId="0">
      <text>
        <t>Status para auditit: Not Started
Audit: 2026-09-07
Biznesi i parë krijohet realisht; konteksti ringarkohet nga API.
Mbetet: Aktualisht një biznes për owner; multi-org switcher, membership removal/reselect dhe lifecycle i plotë nuk janë implementuar.</t>
      </text>
    </comment>
    <comment ref="S32" authorId="1" shapeId="0">
      <text>
        <t>Burim i rishikimit, jo deklaratë se Test Evidence M është kaluar.</t>
      </text>
    </comment>
    <comment ref="E33" authorId="0" shapeId="0">
      <text>
        <t>Para auditit 2026-09-07:
Build resumable Stepper onboarding with business basics, goals, language/timezone, optional social connect, brand facts and first-value checklist. Persist server-side progress after each completed step.
Arsyeja: Përshtatur me kërkesat e shprehura: Nuxt UI, biznes real/PostgreSQL, pa demo, EUR/trial, Meta opsionale. Kriteret e sigurisë/prodhimit mbeten të hapura.</t>
      </text>
    </comment>
    <comment ref="F33" authorId="0" shapeId="0">
      <text>
        <t>Para auditit 2026-09-07:
Refresh/logout/login resumes correct step; user may continue without Meta; validation actionable; mobile flow usable without horizontal scroll.
Arsyeja: Përshtatur me kërkesat e shprehura: Nuxt UI, biznes real/PostgreSQL, pa demo, EUR/trial, Meta opsionale. Kriteret e sigurisë/prodhimit mbeten të hapura.</t>
      </text>
    </comment>
    <comment ref="L33" authorId="0" shapeId="0">
      <text>
        <t>Status para auditit: Not Started
Audit: 2026-09-07
Onboarding 3 hapa: Biznesi → Rrjetet opsionale → Hapi i parë; progress dhe profili ruhen në server, draft i papërfunduar rikuperohet lokal.
Mbetet: Duhet suite që provon refresh/logout/login në çdo hap, timezone/goals/facts sipas kontratës dhe përdorues të rinj në 360px.</t>
      </text>
    </comment>
    <comment ref="S33" authorId="1" shapeId="0">
      <text>
        <t>Burim i rishikimit, jo deklaratë se Test Evidence M është kaluar.</t>
      </text>
    </comment>
    <comment ref="L34" authorId="0" shapeId="0">
      <text>
        <t>Status para auditit: Not Started
Audit: 2026-09-07
Profili, timezone dhe preferences me validation, dirty-state dhe konflikt revision 409.
Mbetet: Mbeten lifecycle/status/goals i plotë dhe prova konkurrence/UI fault; language switching është post-GA.</t>
      </text>
    </comment>
    <comment ref="S34" authorId="1" shapeId="0">
      <text>
        <t>Burim i rishikimit, jo deklaratë se Test Evidence M është kaluar.</t>
      </text>
    </comment>
    <comment ref="L35" authorId="0" shapeId="0">
      <text>
        <t>Status para auditit: Not Started
Audit: 2026-09-07
Ekipi, ftesat dhe qasja multi-brand janë shtyrë nga rrjedha aktive sipas fokusit vetëm te postimet.
Mbetet: Rihapen bashkë me ekip/agency: tokenë ftese, role, last-owner guards dhe tenant/brand negative tests. Nuk janë përfunduar.</t>
      </text>
    </comment>
    <comment ref="S35" authorId="1" shapeId="0">
      <text>
        <t>Burim i rishikimit, jo deklaratë se Test Evidence M është kaluar.</t>
      </text>
    </comment>
    <comment ref="V35" authorId="0" shapeId="0">
      <text>
        <t>Para auditit 2026-09-07:
GA
Arsyeja: Kërkesa e përdoruesit: vetëm postime; ekip/fushata/analitikë shtyhen, nuk shënohen Done.</t>
      </text>
    </comment>
    <comment ref="L36" authorId="0" shapeId="0">
      <text>
        <t>Status para auditit: Not Started
Audit: 2026-09-07
Ekipi, ftesat dhe qasja multi-brand janë shtyrë nga rrjedha aktive sipas fokusit vetëm te postimet.
Mbetet: Rihapen bashkë me ekip/agency: tokenë ftese, role, last-owner guards dhe tenant/brand negative tests. Nuk janë përfunduar.</t>
      </text>
    </comment>
    <comment ref="S36" authorId="1" shapeId="0">
      <text>
        <t>Burim i rishikimit, jo deklaratë se Test Evidence M është kaluar.</t>
      </text>
    </comment>
    <comment ref="V36" authorId="0" shapeId="0">
      <text>
        <t>Para auditit 2026-09-07:
GA
Arsyeja: Kërkesa e përdoruesit: vetëm postime; ekip/fushata/analitikë shtyhen, nuk shënohen Done.</t>
      </text>
    </comment>
    <comment ref="L37" authorId="0" shapeId="0">
      <text>
        <t>Status para auditit: Not Started
Audit: 2026-09-07
Editor për përshkrimin, zërin, audiencën dhe facts me burim/konfirmim.
Mbetet: Nuk ka candidate accept/reject, confidence, oferta/guardrails/versioning dhe provë fact lifecycle.</t>
      </text>
    </comment>
    <comment ref="S37" authorId="1" shapeId="0">
      <text>
        <t>Burim i rishikimit, jo deklaratë se Test Evidence M është kaluar.</t>
      </text>
    </comment>
    <comment ref="L38" authorId="0" shapeId="0">
      <text>
        <t>Status para auditit: Not Started
Audit: 2026-09-07
DashboardEmpty, UAlert, retry/toast dhe state reale për mungesë konfigurimi ose konflikte.
Mbetet: Mungon Problem contract i unifikuar me request-id të kopjueshëm dhe state matrix tests.</t>
      </text>
    </comment>
    <comment ref="S38" authorId="1" shapeId="0">
      <text>
        <t>Burim i rishikimit, jo deklaratë se Test Evidence M është kaluar.</t>
      </text>
    </comment>
    <comment ref="L39" authorId="0" shapeId="0">
      <text>
        <t>Status para auditit: Not Started
Audit: 2026-09-07
Nuxt UI primitives, labels/focus dhe reduced-motion ekzistojnë; axe është në testet live dhe provat e fundit mbulojnë desktop/mobile pa overflow.
Mbetet: Raporti i vjetër me demo nuk pranon kodin aktual. Duhet rerun i plotë axe, keyboard/screen-reader, contrast dhe checklist manual për rrjedhat reale.</t>
      </text>
    </comment>
    <comment ref="S39" authorId="1" shapeId="0">
      <text>
        <t>Burim i rishikimit, jo deklaratë se Test Evidence M është kaluar.</t>
      </text>
    </comment>
    <comment ref="L40" authorId="0" shapeId="0">
      <text>
        <t>Status para auditit: Not Started
Audit: 2026-09-07
Nuk u gjet shërbim telemetry/product events apo funnel dashboard.
Mbetet: Duhet event schema me pseudonymous IDs, wrapper pa PII/prompt/content dhe prova payload/deduplication; audit_events nuk zëvendëson product telemetry.</t>
      </text>
    </comment>
    <comment ref="S40" authorId="1" shapeId="0">
      <text>
        <t>Burim i rishikimit, jo deklaratë se Test Evidence M është kaluar.</t>
      </text>
    </comment>
    <comment ref="L41" authorId="0" shapeId="0">
      <text>
        <t>Status para auditit: Not Started
Audit: 2026-09-07
Media private në PostgreSQL bytea me owner/business checks dhe metadata; URL /api/media/:id kërkon session.
Mbetet: Mungojnë pending upload session, signed direct upload, object storage key dhe expiry/finalize contract.</t>
      </text>
    </comment>
    <comment ref="S41" authorId="1" shapeId="0">
      <text>
        <t>Burim i rishikimit, jo deklaratë se Test Evidence M është kaluar.</t>
      </text>
    </comment>
    <comment ref="L42" authorId="0" shapeId="0">
      <text>
        <t>Status para auditit: Not Started
Audit: 2026-09-07
Serveri dekodon JPEG real me Sharp, kufizon byte/pixels, kontrollon ownership/rights dhe dimensione.
Mbetet: Mungojnë checksum/finalize session/state PROCESSING, replay-finalize dhe suite e plotë spoof/oversize.</t>
      </text>
    </comment>
    <comment ref="S42" authorId="1" shapeId="0">
      <text>
        <t>Burim i rishikimit, jo deklaratë se Test Evidence M është kaluar.</t>
      </text>
    </comment>
    <comment ref="L43" authorId="0" shapeId="0">
      <text>
        <t>Status para auditit: Not Started
Audit: 2026-09-07
Sharp decode/re-encode dhe strip EXIF; prova fake JPEG/EXIF kalojnë.
Mbetet: Përpunimi është sinkron, pa variant worker, thumbnails/checksum/phash apo duplicate-job tests.</t>
      </text>
    </comment>
    <comment ref="S43" authorId="1" shapeId="0">
      <text>
        <t>Burim i rishikimit, jo deklaratë se Test Evidence M është kaluar.</t>
      </text>
    </comment>
    <comment ref="L44" authorId="0" shapeId="0">
      <text>
        <t>Status para auditit: Not Started
Audit: 2026-09-07
Graph transport i kontrolluar, MetaFailure dhe status/capability DTO pa tokenë në UI; test i transportit kalon.
Mbetet: Port-e provider-neutral SocialReader/Publisher/OAuth dhe taxonomy/capability matrix të plota mungojnë.</t>
      </text>
    </comment>
    <comment ref="S44" authorId="1" shapeId="0">
      <text>
        <t>Burim i rishikimit, jo deklaratë se Test Evidence M është kaluar.</t>
      </text>
    </comment>
    <comment ref="L45" authorId="0" shapeId="0">
      <text>
        <t>Status para auditit: Not Started
Audit: 2026-09-07
OAuth state me hash/expiry/consume, exchange në server, AES-GCM token vault i lidhur me business, scopes/expiry dhe disconnect.
Mbetet: Duhet suite për state replay/mismatch/expiry dhe test i vërtetë OAuth. Kredencialet e Meta App mungojnë; token-version/reconnect contracts duhen përfunduar.</t>
      </text>
    </comment>
    <comment ref="S45" authorId="1" shapeId="0">
      <text>
        <t>Burim i rishikimit, jo deklaratë se Test Evidence M është kaluar.</t>
      </text>
    </comment>
    <comment ref="L46" authorId="0" shapeId="0">
      <text>
        <t>Status para auditit: Not Started
Audit: 2026-09-07
Lexim/zgjedhje Page dhe Instagram Professional nga Graph; verifikim serveri i identitetit dhe publikimit; unike Page/IG në DB.
Mbetet: Nuk është provuar me llogari Meta reale; duhen capability/error fixtures, degraded/unsupported states dhe refresh i scopes.</t>
      </text>
    </comment>
    <comment ref="S46" authorId="1" shapeId="0">
      <text>
        <t>Burim i rishikimit, jo deklaratë se Test Evidence M është kaluar.</t>
      </text>
    </comment>
    <comment ref="L47" authorId="0" shapeId="0">
      <text>
        <t>Status para auditit: Not Started
Audit: 2026-09-07
Import real Graph sipas kanalit, cursor i kthyer klientit dhe upsert unik provider_id në DB.
Mbetet: Sync është kërkesë sinkrone; mungon worker incremental, checkpoint i ruajtur, resume pas crash, profil inference dhe test provider live.</t>
      </text>
    </comment>
    <comment ref="S47" authorId="1" shapeId="0">
      <text>
        <t>Burim i rishikimit, jo deklaratë se Test Evidence M është kaluar.</t>
      </text>
    </comment>
    <comment ref="L48" authorId="0" shapeId="0">
      <text>
        <t>Status para auditit: Not Started
Audit: 2026-09-07
Nuk ka endpoint për Meta webhook challenge/signature/dedupe.
Mbetet: Implemento event fingerprint, enqueue/replay protection dhe prova signature/replay/fast acknowledgement.</t>
      </text>
    </comment>
    <comment ref="S48" authorId="1" shapeId="0">
      <text>
        <t>Burim i rishikimit, jo deklaratë se Test Evidence M është kaluar.</t>
      </text>
    </comment>
    <comment ref="L49" authorId="0" shapeId="0">
      <text>
        <t>Status para auditit: Not Started
Audit: 2026-09-07
Ekzistojnë rrugë privacy/terms dhe kod OAuth; kontrolli lokal konfirmon se Meta App credentials mungojnë.
Mbetet: Duhet Meta App i platformës nga pronari i llogarisë, konfigurim HTTPS/scopes, review/screencast, webhook/deletion callbacks dhe non-developer business smoke. Secili biznes lidhet individualisht më pas.</t>
      </text>
    </comment>
    <comment ref="S49" authorId="1" shapeId="0">
      <text>
        <t>Burim i rishikimit, jo deklaratë se Test Evidence M është kaluar.</t>
      </text>
    </comment>
    <comment ref="L50" authorId="0" shapeId="0">
      <text>
        <t>Status para auditit: Not Started
Audit: 2026-09-07
Galeri listë/grid me search/tags, selection dhe pagination UI.
Mbetet: Ngarkohen të gjitha asset-et e workspace në klient; mungojnë cursor API/type-status-orientation filters dhe provë 500+ asset.</t>
      </text>
    </comment>
    <comment ref="S50" authorId="1" shapeId="0">
      <text>
        <t>Burim i rishikimit, jo deklaratë se Test Evidence M është kaluar.</t>
      </text>
    </comment>
    <comment ref="L51" authorId="0" shapeId="0">
      <text>
        <t>Status para auditit: Not Started
Audit: 2026-09-07
Nuxt UI file upload, multi-file processing/progress, preview dhe ruajtje reale në server.
Mbetet: Nuk është signed direct upload; mungojnë cancel/retry të pavarura, finalize polling dhe recovery i punëve processing.</t>
      </text>
    </comment>
    <comment ref="S51" authorId="1" shapeId="0">
      <text>
        <t>Burim i rishikimit, jo deklaratë se Test Evidence M është kaluar.</t>
      </text>
    </comment>
    <comment ref="L52" authorId="0" shapeId="0">
      <text>
        <t>Status para auditit: Not Started
Audit: 2026-09-07
Detaje, tags/rights dhe fshirje me konfirmim; serveri ndalon heqjen e fotos së përdorur.
Mbetet: Mungojnë original/variant/dimensions processing UX e plotë dhe suite e plotë metadata/delete.</t>
      </text>
    </comment>
    <comment ref="S52" authorId="1" shapeId="0">
      <text>
        <t>Burim i rishikimit, jo deklaratë se Test Evidence M është kaluar.</t>
      </text>
    </comment>
    <comment ref="L53" authorId="0" shapeId="0">
      <text>
        <t>Status para auditit: Not Started
Audit: 2026-09-07
Profili ruan një ngjyrë; platforma ka logo SVG transparente.
Mbetet: Logo e biznesit me asset ID, typografi/layout preferences dhe validation/preview e identitetit të plotë mungojnë. Logo e platformës nuk mbyll task-un e logos së klientit.</t>
      </text>
    </comment>
    <comment ref="S53" authorId="1" shapeId="0">
      <text>
        <t>Burim i rishikimit, jo deklaratë se Test Evidence M është kaluar.</t>
      </text>
    </comment>
    <comment ref="L54" authorId="0" shapeId="0">
      <text>
        <t>Status para auditit: Not Started
Audit: 2026-09-07
SocialConnections ofron lidhje Meta, zgjedhje faqesh, scopes/capabilities dhe gjendje të vërteta pa sukses demonstrues.
Mbetet: Mungojnë prova mocked OAuth/cancellation/unsupported cases dhe staging me kredenciale reale Meta.</t>
      </text>
    </comment>
    <comment ref="S54" authorId="1" shapeId="0">
      <text>
        <t>Burim i rishikimit, jo deklaratë se Test Evidence M është kaluar.</t>
      </text>
    </comment>
    <comment ref="L55" authorId="0" shapeId="0">
      <text>
        <t>Status para auditit: Not Started
Audit: 2026-09-07
SocialConnections ofron lidhje Meta, zgjedhje faqesh, scopes/capabilities dhe gjendje të vërteta pa sukses demonstrues.
Mbetet: Mungojnë prova mocked OAuth/cancellation/unsupported cases dhe staging me kredenciale reale Meta.</t>
      </text>
    </comment>
    <comment ref="S55" authorId="1" shapeId="0">
      <text>
        <t>Burim i rishikimit, jo deklaratë se Test Evidence M është kaluar.</t>
      </text>
    </comment>
    <comment ref="L56" authorId="0" shapeId="0">
      <text>
        <t>Status para auditit: Not Started
Audit: 2026-09-07
Social posts ka channel/search/server pagination, import count, last sync dhe lexim faqesh të mëparshme.
Mbetet: Nuk ka durable sync job/progress/history pas crash dhe matricë terminal-auth/retry me provider fixtures.</t>
      </text>
    </comment>
    <comment ref="S56" authorId="1" shapeId="0">
      <text>
        <t>Burim i rishikimit, jo deklaratë se Test Evidence M është kaluar.</t>
      </text>
    </comment>
    <comment ref="E57" authorId="0" shapeId="0">
      <text>
        <t>Para auditit 2026-09-07:
Implement confirm disconnect, consequences for scheduled content, reconnect prompt and degraded account banner.
Arsyeja: Përshtatur me kërkesat e shprehura: Nuxt UI, biznes real/PostgreSQL, pa demo, EUR/trial, Meta opsionale. Kriteret e sigurisë/prodhimit mbeten të hapura.</t>
      </text>
    </comment>
    <comment ref="F57" authorId="0" shapeId="0">
      <text>
        <t>Para auditit 2026-09-07:
Disconnect requires appropriate role; scheduled affected items marked blocked by backend and UI explains remediation.
Arsyeja: Përshtatur me kërkesat e shprehura: Nuxt UI, biznes real/PostgreSQL, pa demo, EUR/trial, Meta opsionale. Kriteret e sigurisë/prodhimit mbeten të hapura.</t>
      </text>
    </comment>
    <comment ref="L57" authorId="0" shapeId="0">
      <text>
        <t>Status para auditit: Not Started
Audit: 2026-09-07
Disconnect anulon punët pending dhe ruan oraret manuale; uncertain mbetet i bllokuar për verifikim. Local E2E konfirmon ruajtjen e kalendarit.
Mbetet: Mbeten real revoke/reconnect dhe test me punë automatike aktive. Kriteri është përshtatur: Meta opsionale, kalendari nuk fshihet.</t>
      </text>
    </comment>
    <comment ref="S57" authorId="1" shapeId="0">
      <text>
        <t>Burim i rishikimit, jo deklaratë se Test Evidence M është kaluar.</t>
      </text>
    </comment>
    <comment ref="L58" authorId="0" shapeId="0">
      <text>
        <t>Status para auditit: Not Started
Audit: 2026-09-07
Nuxt UI primitives, labels/focus dhe reduced-motion ekzistojnë; axe është në testet live dhe provat e fundit mbulojnë desktop/mobile pa overflow.
Mbetet: Raporti i vjetër me demo nuk pranon kodin aktual. Duhet rerun i plotë axe, keyboard/screen-reader, contrast dhe checklist manual për rrjedhat reale.</t>
      </text>
    </comment>
    <comment ref="S58" authorId="1" shapeId="0">
      <text>
        <t>Burim i rishikimit, jo deklaratë se Test Evidence M është kaluar.</t>
      </text>
    </comment>
    <comment ref="L59" authorId="0" shapeId="0">
      <text>
        <t>Status para auditit: Not Started
Audit: 2026-09-07
Endpoint captions thërret realisht OpenAI Responses me model nga env, timeout dhe error të sigurt.
Mbetet: Nuk ka capability gateway/provider-neutral ports/image adapter apo routing/retry contract tests. OPENAI_API_KEY/OPENAI_MODEL mungojnë, ndaj gjenerimi live nuk është verifikuar.</t>
      </text>
    </comment>
    <comment ref="S59" authorId="1" shapeId="0">
      <text>
        <t>Burim i rishikimit, jo deklaratë se Test Evidence M është kaluar.</t>
      </text>
    </comment>
    <comment ref="L60" authorId="0" shapeId="0">
      <text>
        <t>Status para auditit: Not Started
Audit: 2026-09-07
Prompt-i i captions është tekst në endpoint; nuk ka prompt_versions store.
Mbetet: Duhet registry immutable, hash/schema/version, promotion/audit dhe lifecycle tests.</t>
      </text>
    </comment>
    <comment ref="S60" authorId="1" shapeId="0">
      <text>
        <t>Burim i rishikimit, jo deklaratë se Test Evidence M është kaluar.</t>
      </text>
    </comment>
    <comment ref="L61" authorId="0" shapeId="0">
      <text>
        <t>Status para auditit: Not Started
Audit: 2026-09-07
Captions përdor JSON Schema strict dhe Zod me kufij për variants/questions.
Mbetet: Nuk ka kontrata për inference/strategy/brief/QA, bounded repair ose fuzz fixtures; Pydantic nuk përdoret në backend-in aktual.</t>
      </text>
    </comment>
    <comment ref="S61" authorId="1" shapeId="0">
      <text>
        <t>Burim i rishikimit, jo deklaratë se Test Evidence M është kaluar.</t>
      </text>
    </comment>
    <comment ref="L62" authorId="0" shapeId="0">
      <text>
        <t>Status para auditit: Not Started
Audit: 2026-09-07
Historia sociale mund të përdoret vetëm si referencë stili për captions.
Mbetet: Nuk ka source snapshots, extraction/candidates/confidence, conflict/dedupe ose inferred voice/facts të konfirmueshme.</t>
      </text>
    </comment>
    <comment ref="S62" authorId="1" shapeId="0">
      <text>
        <t>Burim i rishikimit, jo deklaratë se Test Evidence M është kaluar.</t>
      </text>
    </comment>
    <comment ref="L63" authorId="0" shapeId="0">
      <text>
        <t>Status para auditit: Not Started
Audit: 2026-09-07
AI context përfshin profilin, vetëm facts me verified=true dhe 8 postime të fundit si stil.
Mbetet: Mungon immutable evidence pack me fact/offer IDs, hash snapshot, voice versions, validity e ofertës dhe inclusion/exclusion tests.</t>
      </text>
    </comment>
    <comment ref="S63" authorId="1" shapeId="0">
      <text>
        <t>Burim i rishikimit, jo deklaratë se Test Evidence M është kaluar.</t>
      </text>
    </comment>
    <comment ref="L64" authorId="0" shapeId="0">
      <text>
        <t>Status para auditit: Not Started
Audit: 2026-09-07
Nuk u gjet implementim për analizë semantike/embeddings, AI image generation ose golden-eval harness sipas task-ut.
Mbetet: Duhet implementimi i plotë i acceptance criteria dhe provat provider/tenant/eval. Fotografia e ngarkuar manualisht dhe testi JPEG nuk provojnë këto shërbime.</t>
      </text>
    </comment>
    <comment ref="S64" authorId="1" shapeId="0">
      <text>
        <t>Burim i rishikimit, jo deklaratë se Test Evidence M është kaluar.</t>
      </text>
    </comment>
    <comment ref="L65" authorId="0" shapeId="0">
      <text>
        <t>Status para auditit: Not Started
Audit: 2026-09-07
Posts me revision optimistic, versione të numëruara dhe histori caption; serveri kontrollon edit/status dhe referencat e fotos.
Mbetet: Mungojnë tabela immutable content_versions me snapshot të plotë të çdo fushe/foto/provenance dhe provat domain/concurrency; campaign është shtyrë.</t>
      </text>
    </comment>
    <comment ref="S65" authorId="1" shapeId="0">
      <text>
        <t>Burim i rishikimit, jo deklaratë se Test Evidence M është kaluar.</t>
      </text>
    </comment>
    <comment ref="L66" authorId="0" shapeId="0">
      <text>
        <t>Status para auditit: Not Started
Audit: 2026-09-07
Caption generation ruan request ID/input hash/status/output dhe parandalon ripërsëritjen logjike të request-it.
Mbetet: Kërkesa HTTP pret provider-in; mungon durable multi-stage workflow/resume/worker dhe references prompt/evidence. Nuk është implementuar pipeline strategy→brief→QA.</t>
      </text>
    </comment>
    <comment ref="S66" authorId="1" shapeId="0">
      <text>
        <t>Burim i rishikimit, jo deklaratë se Test Evidence M është kaluar.</t>
      </text>
    </comment>
    <comment ref="L67" authorId="0" shapeId="0">
      <text>
        <t>Status para auditit: Not Started
Audit: 2026-09-07
Nuk u gjet implementim për analizë semantike/embeddings, AI image generation ose golden-eval harness sipas task-ut.
Mbetet: Duhet implementimi i plotë i acceptance criteria dhe provat provider/tenant/eval. Fotografia e ngarkuar manualisht dhe testi JPEG nuk provojnë këto shërbime.</t>
      </text>
    </comment>
    <comment ref="S67" authorId="1" shapeId="0">
      <text>
        <t>Burim i rishikimit, jo deklaratë se Test Evidence M është kaluar.</t>
      </text>
    </comment>
    <comment ref="L68" authorId="0" shapeId="0">
      <text>
        <t>Status para auditit: Not Started
Audit: 2026-09-07
Nuk u gjet implementim për analizë semantike/embeddings, AI image generation ose golden-eval harness sipas task-ut.
Mbetet: Duhet implementimi i plotë i acceptance criteria dhe provat provider/tenant/eval. Fotografia e ngarkuar manualisht dhe testi JPEG nuk provojnë këto shërbime.</t>
      </text>
    </comment>
    <comment ref="S68" authorId="1" shapeId="0">
      <text>
        <t>Burim i rishikimit, jo deklaratë se Test Evidence M është kaluar.</t>
      </text>
    </comment>
    <comment ref="L69" authorId="0" shapeId="0">
      <text>
        <t>Status para auditit: Not Started
Audit: 2026-09-07
Content list me status/channel/search, Nuxt UI dhe pagination të dukshme.
Mbetet: Workspace i plotë vjen në klient; server pagination/cursor dhe prova shkallëzimi/filter persistence mungojnë.</t>
      </text>
    </comment>
    <comment ref="S69" authorId="1" shapeId="0">
      <text>
        <t>Burim i rishikimit, jo deklaratë se Test Evidence M është kaluar.</t>
      </text>
    </comment>
    <comment ref="L70" authorId="0" shapeId="0">
      <text>
        <t>Status para auditit: Not Started
Audit: 2026-09-07
Editor statik manual, autosave në server, draft recovery, foto private dhe parapamje të veçanta Facebook/Instagram; rrjedha approve/calendar kalon desktop/mobile.
Mbetet: Implementuar për një fotografi/postim. Mbetet suite e plotë fault/conflict/version dhe pranim RG-06/RG-14; composer i avancuar është task më vete.</t>
      </text>
    </comment>
    <comment ref="S70" authorId="1" shapeId="0">
      <text>
        <t>Burim i rishikimit, jo deklaratë se Test Evidence M është kaluar.</t>
      </text>
    </comment>
    <comment ref="L71" authorId="0" shapeId="0">
      <text>
        <t>Status para auditit: Not Started
Audit: 2026-09-07
CaptionAssistant pranon ide/kanal dhe ofron variante nga API, vetëm me kërkesë të përdoruesit.
Mbetet: Mungon wizard goal/tone/asset/credit estimate, durable job link dhe double-submit/generation staging tests.</t>
      </text>
    </comment>
    <comment ref="S71" authorId="1" shapeId="0">
      <text>
        <t>Burim i rishikimit, jo deklaratë se Test Evidence M është kaluar.</t>
      </text>
    </comment>
    <comment ref="L72" authorId="0" shapeId="0">
      <text>
        <t>Status para auditit: Not Started
Audit: 2026-09-07
Asistenti shfaq loading/error dhe ruan tekstin nëse AI dështon.
Mbetet: Nuk ka endpoint/polling durable job/status sipas stage dhe resume pas refresh.</t>
      </text>
    </comment>
    <comment ref="S72" authorId="1" shapeId="0">
      <text>
        <t>Burim i rishikimit, jo deklaratë se Test Evidence M është kaluar.</t>
      </text>
    </comment>
    <comment ref="L73" authorId="0" shapeId="0">
      <text>
        <t>Status para auditit: Not Started
Audit: 2026-09-07
Zgjedhje manuale vetëm e fotove të biznesit me rights; preview dhe zëvendësim.
Mbetet: Mungojnë AI/retrieval recommendations, why-selected, usage recency dhe pinned generation spec.</t>
      </text>
    </comment>
    <comment ref="S73" authorId="1" shapeId="0">
      <text>
        <t>Burim i rishikimit, jo deklaratë se Test Evidence M është kaluar.</t>
      </text>
    </comment>
    <comment ref="L74" authorId="0" shapeId="0">
      <text>
        <t>Status para auditit: Not Started
Audit: 2026-09-07
Historik caption në slideover dhe variante captions me apply.
Mbetet: Nuk ka diff/creative side-by-side me provenance dhe snapshot immutable të plotë; prova zgjedhje-versioni mungon.</t>
      </text>
    </comment>
    <comment ref="S74" authorId="1" shapeId="0">
      <text>
        <t>Burim i rishikimit, jo deklaratë se Test Evidence M është kaluar.</t>
      </text>
    </comment>
    <comment ref="L75" authorId="0" shapeId="0">
      <text>
        <t>Status para auditit: Not Started
Audit: 2026-09-07
ChannelPreview paraqet një foto dhe caption në pamje Facebook/Instagram.
Mbetet: Nuk ka deterministic creative composer/export spec, exact business-logo/price/CTA render apo golden snapshots. Preview i rrjetit nuk është composer.</t>
      </text>
    </comment>
    <comment ref="S75" authorId="1" shapeId="0">
      <text>
        <t>Burim i rishikimit, jo deklaratë se Test Evidence M është kaluar.</t>
      </text>
    </comment>
    <comment ref="L76" authorId="0" shapeId="0">
      <text>
        <t>Status para auditit: Not Started
Audit: 2026-09-07
Kontrollet lokale shfaqin text/image/rights/format, checklist manual dhe lidhje te facts.
Mbetet: Mungojnë claim-level fact refs, offer validity, asset lineage, prompt/run metadata dhe QA provenance drawer.</t>
      </text>
    </comment>
    <comment ref="S76" authorId="1" shapeId="0">
      <text>
        <t>Burim i rishikimit, jo deklaratë se Test Evidence M është kaluar.</t>
      </text>
    </comment>
    <comment ref="L77" authorId="0" shapeId="0">
      <text>
        <t>Status para auditit: Not Started
Audit: 2026-09-07
Caption AI apply dhe zëvendësim manual i fotos ruajnë ndryshime në draft/history.
Mbetet: Mungojnë typed targeted rewrite/regenerate-image/CTA commands, immutable full history dhe credit impact.</t>
      </text>
    </comment>
    <comment ref="S77" authorId="1" shapeId="0">
      <text>
        <t>Burim i rishikimit, jo deklaratë se Test Evidence M është kaluar.</t>
      </text>
    </comment>
    <comment ref="L78" authorId="0" shapeId="0">
      <text>
        <t>Status para auditit: Not Started
Audit: 2026-09-07
State machine serveri ndalon kalime të palejuara; përmbajtja e ndryshuar kthehet draft dhe kërkon miratim sërish. Kontrollet content janë të ndara nga Meta.
Mbetet: Mungojnë approval records/policy/capability Approver dhe audit i detajuar actor/version/reason; role matrix nuk ekziston.</t>
      </text>
    </comment>
    <comment ref="S78" authorId="1" shapeId="0">
      <text>
        <t>Burim i rishikimit, jo deklaratë se Test Evidence M është kaluar.</t>
      </text>
    </comment>
    <comment ref="E79" authorId="0" shapeId="0">
      <text>
        <t>Para auditit 2026-09-07:
Implement scheduled_publications, target accounts, UTC schedule/timezone source, cancel/reschedule and uniqueness constraints.
Arsyeja: Përshtatur me kërkesat e shprehura: Nuxt UI, biznes real/PostgreSQL, pa demo, EUR/trial, Meta opsionale. Kriteret e sigurisë/prodhimit mbeten të hapura.</t>
      </text>
    </comment>
    <comment ref="F79" authorId="0" shapeId="0">
      <text>
        <t>Para auditit 2026-09-07:
Cannot schedule unapproved/ineligible version; DST conversion tested; double schedule command idempotent.
Arsyeja: Përshtatur me kërkesat e shprehura: Nuxt UI, biznes real/PostgreSQL, pa demo, EUR/trial, Meta opsionale. Kriteret e sigurisë/prodhimit mbeten të hapura.</t>
      </text>
    </comment>
    <comment ref="L79" authorId="0" shapeId="0">
      <text>
        <t>Status para auditit: Not Started
Audit: 2026-09-07
Kalendari manual dhe publikimi automatic ruhen veçmas; dates UTC/timezone, approval guards, cancel dhe unique post/version jobs. Provat pa Meta kalojnë.
Mbetet: Mbeten schedule command idempotency/concurrency e plotë, target/API lifecycle dhe provider staging. Meta kërkohet vetëm për automatic, jo për kalendar manual.</t>
      </text>
    </comment>
    <comment ref="S79" authorId="1" shapeId="0">
      <text>
        <t>Burim i rishikimit, jo deklaratë se Test Evidence M është kaluar.</t>
      </text>
    </comment>
    <comment ref="L80" authorId="0" shapeId="0">
      <text>
        <t>Status para auditit: Not Started
Audit: 2026-09-07
Due query me index dhe SKIP LOCKED; claim transaction dhe worker heartbeat.
Mbetet: Nuk ka transactional outbox/dispatch state të plotë, queue-age observability ose concurrent-dispatcher integration test.</t>
      </text>
    </comment>
    <comment ref="S80" authorId="1" shapeId="0">
      <text>
        <t>Burim i rishikimit, jo deklaratë se Test Evidence M është kaluar.</t>
      </text>
    </comment>
    <comment ref="L81" authorId="0" shapeId="0">
      <text>
        <t>Status para auditit: Not Started
Audit: 2026-09-07
Kod Facebook photos dhe Instagram container/media_publish, signed media URL me expiry, provider receipt dhe read-back confirmation.
Mbetet: Asnjë publikim live/staging i verifikuar: mungojnë Meta App, HTTPS publik dhe worker i aktivizuar. Duhet test real që provon saktësisht një postim.</t>
      </text>
    </comment>
    <comment ref="S81" authorId="1" shapeId="0">
      <text>
        <t>Burim i rishikimit, jo deklaratë se Test Evidence M është kaluar.</t>
      </text>
    </comment>
    <comment ref="L82" authorId="0" shapeId="0">
      <text>
        <t>Status para auditit: Not Started
Audit: 2026-09-07
MetaFailure dallon disa gabime dhe uncertain/failed ndalojnë retry të verbër.
Mbetet: Retry-After, exponential backoff/jitter, attempt limits dhe taxonomy/remediation matrix për 429/5xx/network/auth/media nuk janë përfunduar.</t>
      </text>
    </comment>
    <comment ref="S82" authorId="1" shapeId="0">
      <text>
        <t>Burim i rishikimit, jo deklaratë se Test Evidence M është kaluar.</t>
      </text>
    </comment>
    <comment ref="L83" authorId="0" shapeId="0">
      <text>
        <t>Status para auditit: Not Started
Audit: 2026-09-07
Ruhet provider ID para konfirmimit; crash/timeout shënohet uncertain dhe nuk ripublikohet automatikisht.
Mbetet: Mungon reconciler që zgjidh uncertain përmes provider-it dhe timeout-after-success fault test. Ndalimi i retry nuk është reconciliation i përfunduar.</t>
      </text>
    </comment>
    <comment ref="S83" authorId="1" shapeId="0">
      <text>
        <t>Burim i rishikimit, jo deklaratë se Test Evidence M është kaluar.</t>
      </text>
    </comment>
    <comment ref="L84" authorId="0" shapeId="0">
      <text>
        <t>Status para auditit: Not Started
Audit: 2026-09-07
Unique (post_id,post_version), row locks dhe mbrojtje për jobs processing/uncertain.
Mbetet: Mungon immutable publication_attempts ledger/request hash dhe prova duplicate/concurrency e gjithë rrugës HTTP→worker→provider.</t>
      </text>
    </comment>
    <comment ref="S84" authorId="1" shapeId="0">
      <text>
        <t>Burim i rishikimit, jo deklaratë se Test Evidence M është kaluar.</t>
      </text>
    </comment>
    <comment ref="L85" authorId="0" shapeId="0">
      <text>
        <t>Status para auditit: Not Started
Audit: 2026-09-07
SMTP për auth ekziston, por jo shërbimi i event notifications.
Mbetet: Duhet notification/delivery schema, recipient policy, dedupe dhe retry email jashtë transaksionit të biznesit.</t>
      </text>
    </comment>
    <comment ref="S85" authorId="1" shapeId="0">
      <text>
        <t>Burim i rishikimit, jo deklaratë se Test Evidence M është kaluar.</t>
      </text>
    </comment>
    <comment ref="L86" authorId="0" shapeId="0">
      <text>
        <t>Status para auditit: Not Started
Audit: 2026-09-07
Ka prova timezone/DST, signature expiry/forgery dhe bllokim të automatic pa kontroll Meta.
Mbetet: Mungon resilience suite që ekzekuton worker për duplicates/crash/429/5xx/revoked auth/cancel me provider fixtures në CI.</t>
      </text>
    </comment>
    <comment ref="S86" authorId="1" shapeId="0">
      <text>
        <t>Burim i rishikimit, jo deklaratë se Test Evidence M është kaluar.</t>
      </text>
    </comment>
    <comment ref="L87" authorId="0" shapeId="0">
      <text>
        <t>Status para auditit: Not Started
Audit: 2026-09-07
Review→manual checkbox→approve funksionon për të dy kanalet pa Meta; serveri kontrollon version/revision dhe policy.
Mbetet: Mungojnë comments/reject reasons, role Approver dhe immutable full version review; duhen stale/unauthorized E2E.</t>
      </text>
    </comment>
    <comment ref="S87" authorId="1" shapeId="0">
      <text>
        <t>Burim i rishikimit, jo deklaratë se Test Evidence M është kaluar.</t>
      </text>
    </comment>
    <comment ref="E88" authorId="0" shapeId="0">
      <text>
        <t>Para auditit 2026-09-07:
Build month/week/list calendar with responsive behavior; desktop drag/reschedule guarded by state policy, mobile defaults to list/drawer; clear draft/approved/scheduled/published/failed semantics.
Arsyeja: Përshtatur me kërkesat e shprehura: Nuxt UI, biznes real/PostgreSQL, pa demo, EUR/trial, Meta opsionale. Kriteret e sigurisë/prodhimit mbeten të hapura.</t>
      </text>
    </comment>
    <comment ref="F88" authorId="0" shapeId="0">
      <text>
        <t>Para auditit 2026-09-07:
DST/timezone fixtures pass; drag cannot bypass approval; mobile core schedule actions complete.
Arsyeja: Përshtatur me kërkesat e shprehura: Nuxt UI, biznes real/PostgreSQL, pa demo, EUR/trial, Meta opsionale. Kriteret e sigurisë/prodhimit mbeten të hapura.</t>
      </text>
    </comment>
    <comment ref="L88" authorId="0" shapeId="0">
      <text>
        <t>Status para auditit: Not Started
Audit: 2026-09-07
Kalendari month/week/list, listë me pagination si parazgjedhje, local timezone dhe shenja manual/automatic. E2E desktop/mobile kalon.
Mbetet: Scope aktual përdor modal për orarin, jo drag. Mbeten pranim i plotë i pamjeve month/week/DST dhe RG-14.</t>
      </text>
    </comment>
    <comment ref="S88" authorId="1" shapeId="0">
      <text>
        <t>Burim i rishikimit, jo deklaratë se Test Evidence M është kaluar.</t>
      </text>
    </comment>
    <comment ref="E89" authorId="0" shapeId="0">
      <text>
        <t>Para auditit 2026-09-07:
Create date/time picker using brand timezone, UTC preview where useful, target account selector and approval/entitlement blockers.
Arsyeja: Përshtatur me kërkesat e shprehura: Nuxt UI, biznes real/PostgreSQL, pa demo, EUR/trial, Meta opsionale. Kriteret e sigurisë/prodhimit mbeten të hapura.</t>
      </text>
    </comment>
    <comment ref="F89" authorId="0" shapeId="0">
      <text>
        <t>Para auditit 2026-09-07:
DST ambiguous/nonexistent times handled; double submit safe; invalid account capability blocked.
Arsyeja: Përshtatur me kërkesat e shprehura: Nuxt UI, biznes real/PostgreSQL, pa demo, EUR/trial, Meta opsionale. Kriteret e sigurisë/prodhimit mbeten të hapura.</t>
      </text>
    </comment>
    <comment ref="L89" authorId="0" shapeId="0">
      <text>
        <t>Status para auditit: Not Started
Audit: 2026-09-07
Modal date/time sipas timezone, guards future/DST, submit i mbrojtur dhe automatic opt-in default off; ruajtja manuale s’kërkon Meta.
Mbetet: Për rrugën manuale kodi është implementuar dhe provuar; mbetet automatic me account real dhe date/DST browser matrix. RG-07/RG-14 janë ende të hapura.</t>
      </text>
    </comment>
    <comment ref="S89" authorId="1" shapeId="0">
      <text>
        <t>Burim i rishikimit, jo deklaratë se Test Evidence M është kaluar.</t>
      </text>
    </comment>
    <comment ref="L90" authorId="0" shapeId="0">
      <text>
        <t>Status para auditit: Not Started
Audit: 2026-09-07
Publication status polling, failure code dhe uncertain warning me bllokim të riprovimit të verbër.
Mbetet: Mungon attempt timeline/support ID, typed retry/remediation dhe provë e të gjitha gjendjeve.</t>
      </text>
    </comment>
    <comment ref="S90" authorId="1" shapeId="0">
      <text>
        <t>Burim i rishikimit, jo deklaratë se Test Evidence M është kaluar.</t>
      </text>
    </comment>
    <comment ref="L91" authorId="0" shapeId="0">
      <text>
        <t>Status para auditit: Not Started
Audit: 2026-09-07
Shell ka panel/badge për postime që presin miratim.
Mbetet: Nuk ka notification feed me DB records/unread per item/dedupe/mark-read API; badge i postimeve nuk është notification center i plotë.</t>
      </text>
    </comment>
    <comment ref="S91" authorId="1" shapeId="0">
      <text>
        <t>Burim i rishikimit, jo deklaratë se Test Evidence M është kaluar.</t>
      </text>
    </comment>
    <comment ref="L92" authorId="0" shapeId="0">
      <text>
        <t>Status para auditit: Not Started
Audit: 2026-09-07
Mesazhe për Meta të palidhur, scopes, server të pakonfiguruar dhe postim uncertain; drafti ruhet.
Mbetet: Mungon error-code matrix e plotë me retry-after/quota/media remediation dhe test provider fixtures.</t>
      </text>
    </comment>
    <comment ref="S92" authorId="1" shapeId="0">
      <text>
        <t>Burim i rishikimit, jo deklaratë se Test Evidence M është kaluar.</t>
      </text>
    </comment>
    <comment ref="L93" authorId="0" shapeId="0">
      <text>
        <t>Status para auditit: Not Started
Audit: 2026-09-07
Historik captions dhe audit i disa veprimeve serveri.
Mbetet: Mungon timeline i unifikuar generation/approval/schedule/publication me actor/time/version të plota.</t>
      </text>
    </comment>
    <comment ref="S93" authorId="1" shapeId="0">
      <text>
        <t>Burim i rishikimit, jo deklaratë se Test Evidence M është kaluar.</t>
      </text>
    </comment>
    <comment ref="L94" authorId="0" shapeId="0">
      <text>
        <t>Status para auditit: Not Started
Audit: 2026-09-07
Testet live mbulojnë regjistrim/biznes/upload/private content; optional-meta provon miratim dhe kalendar pa Meta në desktop/mobile.
Mbetet: Rrjedha connect→AI generate→publish me provider fixtures, staging-like CI dhe cleanup determinist nuk është plotësuar; suite live më e gjerë ka raport dështimi të mëparshëm.</t>
      </text>
    </comment>
    <comment ref="S94" authorId="1" shapeId="0">
      <text>
        <t>Burim i rishikimit, jo deklaratë se Test Evidence M është kaluar.</t>
      </text>
    </comment>
    <comment ref="L95" authorId="0" shapeId="0">
      <text>
        <t>Status para auditit: Not Started
Audit: 2026-09-07
Ka zhvillim dhe prova automatike lokale, por nuk u gjet raport UAT nga biznese.
Mbetet: Duhet walkthrough me biznese përfaqësuese në Kosovë, triage P0/P1/P2 dhe evidence/owner për secilin defekt.</t>
      </text>
    </comment>
    <comment ref="S95" authorId="1" shapeId="0">
      <text>
        <t>Burim i rishikimit, jo deklaratë se Test Evidence M është kaluar.</t>
      </text>
    </comment>
    <comment ref="L96" authorId="0" shapeId="0">
      <text>
        <t>Status para auditit: Not Started
Audit: 2026-09-07
Analytics dhe performance metrics janë shtyrë nga scope-i vetëm për postime.
Mbetet: Rihapen kur kërkohet analitikë: import metrics, normalized snapshots/rollups, bounded query APIs, entitlement checks dhe UI/tests. Nuk ka metrics të sajuara.</t>
      </text>
    </comment>
    <comment ref="S96" authorId="1" shapeId="0">
      <text>
        <t>Burim i rishikimit, jo deklaratë se Test Evidence M është kaluar.</t>
      </text>
    </comment>
    <comment ref="V96" authorId="0" shapeId="0">
      <text>
        <t>Para auditit 2026-09-07:
GA
Arsyeja: Kërkesa e përdoruesit: vetëm postime; ekip/fushata/analitikë shtyhen, nuk shënohen Done.</t>
      </text>
    </comment>
    <comment ref="L97" authorId="0" shapeId="0">
      <text>
        <t>Status para auditit: Not Started
Audit: 2026-09-07
Analytics dhe performance metrics janë shtyrë nga scope-i vetëm për postime.
Mbetet: Rihapen kur kërkohet analitikë: import metrics, normalized snapshots/rollups, bounded query APIs, entitlement checks dhe UI/tests. Nuk ka metrics të sajuara.</t>
      </text>
    </comment>
    <comment ref="S97" authorId="1" shapeId="0">
      <text>
        <t>Burim i rishikimit, jo deklaratë se Test Evidence M është kaluar.</t>
      </text>
    </comment>
    <comment ref="V97" authorId="0" shapeId="0">
      <text>
        <t>Para auditit 2026-09-07:
GA
Arsyeja: Kërkesa e përdoruesit: vetëm postime; ekip/fushata/analitikë shtyhen, nuk shënohen Done.</t>
      </text>
    </comment>
    <comment ref="L98" authorId="0" shapeId="0">
      <text>
        <t>Status para auditit: Not Started
Audit: 2026-09-07
Analytics dhe performance metrics janë shtyrë nga scope-i vetëm për postime.
Mbetet: Rihapen kur kërkohet analitikë: import metrics, normalized snapshots/rollups, bounded query APIs, entitlement checks dhe UI/tests. Nuk ka metrics të sajuara.</t>
      </text>
    </comment>
    <comment ref="S98" authorId="1" shapeId="0">
      <text>
        <t>Burim i rishikimit, jo deklaratë se Test Evidence M është kaluar.</t>
      </text>
    </comment>
    <comment ref="V98" authorId="0" shapeId="0">
      <text>
        <t>Para auditit 2026-09-07:
GA
Arsyeja: Kërkesa e përdoruesit: vetëm postime; ekip/fushata/analitikë shtyhen, nuk shënohen Done.</t>
      </text>
    </comment>
    <comment ref="L99" authorId="0" shapeId="0">
      <text>
        <t>Status para auditit: Not Started
Audit: 2026-09-07
Katalogu i çmimeve ekziston, por nuk ka payment adapter ose billing webhook.
Mbetet: Duhet përzgjedhje e ofruesit sipas subjektit tregtar në Kosovë, sandbox, checkout/subscriptions dhe signature/dedupe/order tests.</t>
      </text>
    </comment>
    <comment ref="S99" authorId="1" shapeId="0">
      <text>
        <t>Burim i rishikimit, jo deklaratë se Test Evidence M është kaluar.</t>
      </text>
    </comment>
    <comment ref="L100" authorId="0" shapeId="0">
      <text>
        <t>Status para auditit: Not Started
Audit: 2026-09-07
Katalogu i çmimeve ekziston, por nuk ka payment adapter ose billing webhook.
Mbetet: Duhet përzgjedhje e ofruesit sipas subjektit tregtar në Kosovë, sandbox, checkout/subscriptions dhe signature/dedupe/order tests.</t>
      </text>
    </comment>
    <comment ref="S100" authorId="1" shapeId="0">
      <text>
        <t>Burim i rishikimit, jo deklaratë se Test Evidence M është kaluar.</t>
      </text>
    </comment>
    <comment ref="L101" authorId="0" shapeId="0">
      <text>
        <t>Status para auditit: Not Started
Audit: 2026-09-07
Serveri kërkon entitlement për posts/media/validation/social_import/publishing/AI; expiry/blocked/revoked trial provohen.
Mbetet: Mungojnë plan-limit matrix për storage/accounts/members, downgrade lifecycle dhe stable typed denial code/current/limit.</t>
      </text>
    </comment>
    <comment ref="S101" authorId="1" shapeId="0">
      <text>
        <t>Burim i rishikimit, jo deklaratë se Test Evidence M është kaluar.</t>
      </text>
    </comment>
    <comment ref="L102" authorId="0" shapeId="0">
      <text>
        <t>Status para auditit: Not Started
Audit: 2026-09-07
Numërues AI ditor atomik dhe request ID/input hash unik në DB.
Mbetet: Nuk ka reserve/commit/release ledger monetar/credits; dështimet numërohen si kërkesa, dhe quota concurrency për AI nuk është provuar plotësisht.</t>
      </text>
    </comment>
    <comment ref="S102" authorId="1" shapeId="0">
      <text>
        <t>Burim i rishikimit, jo deklaratë se Test Evidence M është kaluar.</t>
      </text>
    </comment>
    <comment ref="L103" authorId="0" shapeId="0">
      <text>
        <t>Status para auditit: Not Started
Audit: 2026-09-07
Auth rate limiting, same-origin JSON checks, private media, encrypted Meta tokens dhe disa security headers.
Mbetet: Mungon ASVS evidence matrix, sensitive re-auth, security scans/penetration audit dhe provë prodhimi; nuk mund të deklarohet zero high/critical.</t>
      </text>
    </comment>
    <comment ref="S103" authorId="1" shapeId="0">
      <text>
        <t>Burim i rishikimit, jo deklaratë se Test Evidence M është kaluar.</t>
      </text>
    </comment>
    <comment ref="L104" authorId="0" shapeId="0">
      <text>
        <t>Status para auditit: Not Started
Audit: 2026-09-07
FK/due/query indices dhe pool/timeouts janë konfiguruar.
Mbetet: Nuk ka EXPLAIN/load evidence; leximi/PUT i gjithë workspace kërkon ndarje në API me pagination për të shmangur payload-e të mëdha.</t>
      </text>
    </comment>
    <comment ref="S104" authorId="1" shapeId="0">
      <text>
        <t>Burim i rishikimit, jo deklaratë se Test Evidence M është kaluar.</t>
      </text>
    </comment>
    <comment ref="L105" authorId="0" shapeId="0">
      <text>
        <t>Status para auditit: Not Started
Audit: 2026-09-07
Analytics dhe performance metrics janë shtyrë nga scope-i vetëm për postime.
Mbetet: Rihapen kur kërkohet analitikë: import metrics, normalized snapshots/rollups, bounded query APIs, entitlement checks dhe UI/tests. Nuk ka metrics të sajuara.</t>
      </text>
    </comment>
    <comment ref="S105" authorId="1" shapeId="0">
      <text>
        <t>Burim i rishikimit, jo deklaratë se Test Evidence M është kaluar.</t>
      </text>
    </comment>
    <comment ref="V105" authorId="0" shapeId="0">
      <text>
        <t>Para auditit 2026-09-07:
GA
Arsyeja: Kërkesa e përdoruesit: vetëm postime; ekip/fushata/analitikë shtyhen, nuk shënohen Done.</t>
      </text>
    </comment>
    <comment ref="L106" authorId="0" shapeId="0">
      <text>
        <t>Status para auditit: Not Started
Audit: 2026-09-07
Analytics dhe performance metrics janë shtyrë nga scope-i vetëm për postime.
Mbetet: Rihapen kur kërkohet analitikë: import metrics, normalized snapshots/rollups, bounded query APIs, entitlement checks dhe UI/tests. Nuk ka metrics të sajuara.</t>
      </text>
    </comment>
    <comment ref="S106" authorId="1" shapeId="0">
      <text>
        <t>Burim i rishikimit, jo deklaratë se Test Evidence M është kaluar.</t>
      </text>
    </comment>
    <comment ref="V106" authorId="0" shapeId="0">
      <text>
        <t>Para auditit 2026-09-07:
GA
Arsyeja: Kërkesa e përdoruesit: vetëm postime; ekip/fushata/analitikë shtyhen, nuk shënohen Done.</t>
      </text>
    </comment>
    <comment ref="E107" authorId="0" shapeId="0">
      <text>
        <t>Para auditit 2026-09-07:
Render plan cards from public plan catalog contract, compare entitlements, FAQ and CTA; no duplicated hardcoded feature matrix.
Arsyeja: Përshtatur me kërkesat e shprehura: Nuxt UI, biznes real/PostgreSQL, pa demo, EUR/trial, Meta opsionale. Kriteret e sigurisë/prodhimit mbeten të hapura.</t>
      </text>
    </comment>
    <comment ref="F107" authorId="0" shapeId="0">
      <text>
        <t>Para auditit 2026-09-07:
Displayed plan limits match server public catalog; responsive/SEO correct; unavailable plan cannot checkout.
Arsyeja: Përshtatur me kërkesat e shprehura: Nuxt UI, biznes real/PostgreSQL, pa demo, EUR/trial, Meta opsionale. Kriteret e sigurisë/prodhimit mbeten të hapura.</t>
      </text>
    </comment>
    <comment ref="L107" authorId="0" shapeId="0">
      <text>
        <t>Status para auditit: Not Started
Audit: 2026-09-07
Çmimet EUR dhe features lexohen nga plan_catalog në DB, jo nga fake plan array; paketat jo të blershme nuk hapin checkout.
Mbetet: Mbetet plan/entitlement reconciliation test, pranim i çmimeve komerciale dhe RG-08/RG-14. Çmimet seed janë propozime, jo shitje aktive.</t>
      </text>
    </comment>
    <comment ref="S107" authorId="1" shapeId="0">
      <text>
        <t>Burim i rishikimit, jo deklaratë se Test Evidence M është kaluar.</t>
      </text>
    </comment>
    <comment ref="L108" authorId="0" shapeId="0">
      <text>
        <t>Status para auditit: Not Started
Audit: 2026-09-07
Faqja Billing shfaq katalogun real dhe trial/entitlement status; deklaron pagesat të paaktivizuara.
Mbetet: Checkout/upgrade/downgrade/cancel/portal, Billing role dhe provider-return flow nuk janë implementuar.</t>
      </text>
    </comment>
    <comment ref="S108" authorId="1" shapeId="0">
      <text>
        <t>Burim i rishikimit, jo deklaratë se Test Evidence M është kaluar.</t>
      </text>
    </comment>
    <comment ref="L109" authorId="0" shapeId="0">
      <text>
        <t>Status para auditit: Not Started
Audit: 2026-09-07
TrialBanner dhe billing tregojnë periudhën e mbetur reale nga serveri.
Mbetet: Mungon usage snapshot për credits/storage/accounts/members me reserved/consumed dhe 80/100% warnings.</t>
      </text>
    </comment>
    <comment ref="S109" authorId="1" shapeId="0">
      <text>
        <t>Burim i rishikimit, jo deklaratë se Test Evidence M është kaluar.</t>
      </text>
    </comment>
    <comment ref="L110" authorId="0" shapeId="0">
      <text>
        <t>Status para auditit: Not Started
Audit: 2026-09-07
/api/capabilities dhe server entitlements bllokojnë shërbime të pakonfiguruara; UI nuk shpik sukses.
Mbetet: Nuk ka centralized typed entitlement composable/denial matrix me limit/upgrade context për çdo feature.</t>
      </text>
    </comment>
    <comment ref="S110" authorId="1" shapeId="0">
      <text>
        <t>Burim i rishikimit, jo deklaratë se Test Evidence M është kaluar.</t>
      </text>
    </comment>
    <comment ref="L111" authorId="0" shapeId="0">
      <text>
        <t>Status para auditit: Not Started
Audit: 2026-09-07
Landing/pricing/help/security janë responsive; CTA drejt signup, euro dhe pa demonstrim.
Mbetet: Duhet content review me operator/plan të miratuar dhe matje aktuale Lighthouse/Web Vitals/reduced-motion.</t>
      </text>
    </comment>
    <comment ref="S111" authorId="1" shapeId="0">
      <text>
        <t>Burim i rishikimit, jo deklaratë se Test Evidence M është kaluar.</t>
      </text>
    </comment>
    <comment ref="L112" authorId="0" shapeId="0">
      <text>
        <t>Status para auditit: Not Started
Audit: 2026-09-07
Nuxt UI primitives, labels/focus dhe reduced-motion ekzistojnë; axe është në testet live dhe provat e fundit mbulojnë desktop/mobile pa overflow.
Mbetet: Raporti i vjetër me demo nuk pranon kodin aktual. Duhet rerun i plotë axe, keyboard/screen-reader, contrast dhe checklist manual për rrjedhat reale.</t>
      </text>
    </comment>
    <comment ref="S112" authorId="1" shapeId="0">
      <text>
        <t>Burim i rishikimit, jo deklaratë se Test Evidence M është kaluar.</t>
      </text>
    </comment>
    <comment ref="L113" authorId="0" shapeId="0">
      <text>
        <t>Status para auditit: Not Started
Audit: 2026-09-07
Testet PostgreSQL mbulojnë trial, expiry, duplicate identities dhe paid entitlement.
Mbetet: Nuk ka commercial E2E upgrade/downgrade/checkout/billing-role; analytics është deferred.</t>
      </text>
    </comment>
    <comment ref="S113" authorId="1" shapeId="0">
      <text>
        <t>Burim i rishikimit, jo deklaratë se Test Evidence M është kaluar.</t>
      </text>
    </comment>
    <comment ref="L114" authorId="0" shapeId="0">
      <text>
        <t>Status para auditit: Not Started
Audit: 2026-09-07
Ka log bazë për publisher failures dhe audit_events.
Mbetet: Nuk ka OpenTelemetry, trace/request correlation, instrumentim DB/queue/providers apo redaction/release-tag tests.</t>
      </text>
    </comment>
    <comment ref="S114" authorId="1" shapeId="0">
      <text>
        <t>Burim i rishikimit, jo deklaratë se Test Evidence M është kaluar.</t>
      </text>
    </comment>
    <comment ref="L115" authorId="0" shapeId="0">
      <text>
        <t>Status para auditit: Not Started
Audit: 2026-09-07
Nuk u gjet SLO dashboard/alert drill, runbook operacional i plotë ose load report 3× forecast.
Mbetet: Përfundo detyrën sipas acceptance criteria për production; worker heartbeat dhe prova lokale nuk provojnë SLO/operim/ngarkesë.</t>
      </text>
    </comment>
    <comment ref="S115" authorId="1" shapeId="0">
      <text>
        <t>Burim i rishikimit, jo deklaratë se Test Evidence M është kaluar.</t>
      </text>
    </comment>
    <comment ref="L116" authorId="0" shapeId="0">
      <text>
        <t>Status para auditit: Not Started
Audit: 2026-09-07
Nuk u gjet SLO dashboard/alert drill, runbook operacional i plotë ose load report 3× forecast.
Mbetet: Përfundo detyrën sipas acceptance criteria për production; worker heartbeat dhe prova lokale nuk provojnë SLO/operim/ngarkesë.</t>
      </text>
    </comment>
    <comment ref="S116" authorId="1" shapeId="0">
      <text>
        <t>Burim i rishikimit, jo deklaratë se Test Evidence M është kaluar.</t>
      </text>
    </comment>
    <comment ref="L117" authorId="0" shapeId="0">
      <text>
        <t>Status para auditit: Not Started
Audit: 2026-09-07
Eksport JSON nga workspace i përdoruesit dhe draftet lokale ekziston.
Mbetet: Mungon server export job/manifest/checksums/signed expiring artifact, recent-auth dhe provë access/expiry. JSON client-side nuk përfshin lifecycle të plotë export.</t>
      </text>
    </comment>
    <comment ref="S117" authorId="1" shapeId="0">
      <text>
        <t>Burim i rishikimit, jo deklaratë se Test Evidence M është kaluar.</t>
      </text>
    </comment>
    <comment ref="L118" authorId="0" shapeId="0">
      <text>
        <t>Status para auditit: Not Started
Audit: 2026-09-07
Nuk ka organization deletion/purge API/job.
Mbetet: Duhet konfirmim/recent-auth, cancellation, token destruction, purge resume dhe retention exceptions me teste.</t>
      </text>
    </comment>
    <comment ref="S118" authorId="1" shapeId="0">
      <text>
        <t>Burim i rishikimit, jo deklaratë se Test Evidence M është kaluar.</t>
      </text>
    </comment>
    <comment ref="L119" authorId="0" shapeId="0">
      <text>
        <t>Status para auditit: Not Started
Audit: 2026-09-07
PostgreSQL lokal ka volum Docker dhe migrime.
Mbetet: Mungojnë backup/PITR production configuration, restore drill dhe matje RPO/RTO; volum Docker nuk është backup.</t>
      </text>
    </comment>
    <comment ref="S119" authorId="1" shapeId="0">
      <text>
        <t>Burim i rishikimit, jo deklaratë se Test Evidence M është kaluar.</t>
      </text>
    </comment>
    <comment ref="L120" authorId="0" shapeId="0">
      <text>
        <t>Status para auditit: Not Started
Audit: 2026-09-07
Nuk u gjet SLO dashboard/alert drill, runbook operacional i plotë ose load report 3× forecast.
Mbetet: Përfundo detyrën sipas acceptance criteria për production; worker heartbeat dhe prova lokale nuk provojnë SLO/operim/ngarkesë.</t>
      </text>
    </comment>
    <comment ref="S120" authorId="1" shapeId="0">
      <text>
        <t>Burim i rishikimit, jo deklaratë se Test Evidence M është kaluar.</t>
      </text>
    </comment>
    <comment ref="L121" authorId="0" shapeId="0">
      <text>
        <t>Status para auditit: Not Started
Audit: 2026-09-07
Ka disa kontrolle sigurie dhe teste lokale, por jo raport release.
Mbetet: Duhet audit i konfigurimit prod, ASVS/tenant/webhook/upload suite, dependency/container/secret scan i freskët dhe triage me owner/expiry.</t>
      </text>
    </comment>
    <comment ref="S121" authorId="1" shapeId="0">
      <text>
        <t>Burim i rishikimit, jo deklaratë se Test Evidence M është kaluar.</t>
      </text>
    </comment>
    <comment ref="L122" authorId="0" shapeId="0">
      <text>
        <t>Status para auditit: Not Started
Audit: 2026-09-07
Ekzistojnë rrugë privacy/terms dhe kod OAuth; kontrolli lokal konfirmon se Meta App credentials mungojnë.
Mbetet: Duhet Meta App i platformës nga pronari i llogarisë, konfigurim HTTPS/scopes, review/screencast, webhook/deletion callbacks dhe non-developer business smoke. Secili biznes lidhet individualisht më pas.</t>
      </text>
    </comment>
    <comment ref="S122" authorId="1" shapeId="0">
      <text>
        <t>Burim i rishikimit, jo deklaratë se Test Evidence M është kaluar.</t>
      </text>
    </comment>
    <comment ref="L123" authorId="0" shapeId="0">
      <text>
        <t>Status para auditit: Not Started
Audit: 2026-09-07
Nuk u gjet deployment/production rollout ose raport smoke prodhimi.
Mbetet: Duhet immutable artifact promotion, runtime config/roles, prod migrations, cohort rollout, monitoring dhe rollback/smoke evidence. Localhost nuk është prodhim.</t>
      </text>
    </comment>
    <comment ref="S123" authorId="1" shapeId="0">
      <text>
        <t>Burim i rishikimit, jo deklaratë se Test Evidence M është kaluar.</t>
      </text>
    </comment>
    <comment ref="L124" authorId="0" shapeId="0">
      <text>
        <t>Status para auditit: Not Started
Audit: 2026-09-07
Admin/support console/API nuk gjendet në rrugët aktive.
Mbetet: Duhet shërbim i privilegjuar metadata-first, safe diagnostics/actions me reason/audit, tenant checks dhe server pagination. Kjo mbetet kriter operacional.</t>
      </text>
    </comment>
    <comment ref="S124" authorId="1" shapeId="0">
      <text>
        <t>Burim i rishikimit, jo deklaratë se Test Evidence M është kaluar.</t>
      </text>
    </comment>
    <comment ref="L125" authorId="0" shapeId="0">
      <text>
        <t>Status para auditit: Not Started
Audit: 2026-09-07
Gjendje Meta/capabilities/worker dhe UAlert për mungesë konfigurimi; authoring/kalendari manual punojnë pa Meta.
Mbetet: Mungojnë provider incident feed/typed degraded matrix dhe teste outage/revoked/quota të plota.</t>
      </text>
    </comment>
    <comment ref="S125" authorId="1" shapeId="0">
      <text>
        <t>Burim i rishikimit, jo deklaratë se Test Evidence M është kaluar.</t>
      </text>
    </comment>
    <comment ref="L126" authorId="0" shapeId="0">
      <text>
        <t>Status para auditit: Not Started
Audit: 2026-09-07
Playwright ka desktop dhe mobile profile në Chromium; 2 optional-Meta tests janë green.
Mbetet: Mungojnë Firefox/WebKit dhe suite e plotë generation/publish/billing në CI/staging; vetëm Chromium nuk përmbush cross-browser.</t>
      </text>
    </comment>
    <comment ref="S126" authorId="1" shapeId="0">
      <text>
        <t>Burim i rishikimit, jo deklaratë se Test Evidence M është kaluar.</t>
      </text>
    </comment>
    <comment ref="L127" authorId="0" shapeId="0">
      <text>
        <t>Status para auditit: Not Started
Audit: 2026-09-07
Nuxt UI primitives, labels/focus dhe reduced-motion ekzistojnë; axe është në testet live dhe provat e fundit mbulojnë desktop/mobile pa overflow.
Mbetet: Raporti i vjetër me demo nuk pranon kodin aktual. Duhet rerun i plotë axe, keyboard/screen-reader, contrast dhe checklist manual për rrjedhat reale.</t>
      </text>
    </comment>
    <comment ref="S127" authorId="1" shapeId="0">
      <text>
        <t>Burim i rishikimit, jo deklaratë se Test Evidence M është kaluar.</t>
      </text>
    </comment>
    <comment ref="L128" authorId="0" shapeId="0">
      <text>
        <t>Status para auditit: Not Started
Audit: 2026-09-07
Autosave/recovery, error states dhe busy/duplicate-submit guards janë në rrjedhat kryesore.
Mbetet: Duhet network throttling/offline/intermittent/error-injection suite; rezultatet e vjetra demo nuk mbyllin këtë kriter për backend real.</t>
      </text>
    </comment>
    <comment ref="S128" authorId="1" shapeId="0">
      <text>
        <t>Burim i rishikimit, jo deklaratë se Test Evidence M është kaluar.</t>
      </text>
    </comment>
    <comment ref="L129" authorId="0" shapeId="0">
      <text>
        <t>Status para auditit: Not Started
Audit: 2026-09-07
Help, onboarding checklist dhe lidhje kontekstuale janë në shqip; help i kalendarit shpjegon Meta opsionale.
Mbetet: Duhet sinkronizim i gjithë copy me local verify bypass/Meta optional, support contact/request-ID dhe content review. CopilotPanel ende e paraqet lidhjen Meta si hap të numëruar.</t>
      </text>
    </comment>
    <comment ref="S129" authorId="1" shapeId="0">
      <text>
        <t>Burim i rishikimit, jo deklaratë se Test Evidence M është kaluar.</t>
      </text>
    </comment>
    <comment ref="L130" authorId="0" shapeId="0">
      <text>
        <t>Status para auditit: Not Started
Audit: 2026-09-07
Nuk u gjet shërbim telemetry/product events apo funnel dashboard.
Mbetet: Duhet event schema me pseudonymous IDs, wrapper pa PII/prompt/content dhe prova payload/deduplication; audit_events nuk zëvendëson product telemetry.</t>
      </text>
    </comment>
    <comment ref="S130" authorId="1" shapeId="0">
      <text>
        <t>Burim i rishikimit, jo deklaratë se Test Evidence M është kaluar.</t>
      </text>
    </comment>
    <comment ref="L131" authorId="0" shapeId="0">
      <text>
        <t>Status para auditit: Not Started
Audit: 2026-09-07
Ka zhvillim dhe prova automatike lokale, por nuk u gjet raport UAT nga biznese.
Mbetet: Duhet walkthrough me biznese përfaqësuese në Kosovë, triage P0/P1/P2 dhe evidence/owner për secilin defekt.</t>
      </text>
    </comment>
    <comment ref="S131" authorId="1" shapeId="0">
      <text>
        <t>Burim i rishikimit, jo deklaratë se Test Evidence M është kaluar.</t>
      </text>
    </comment>
    <comment ref="L132" authorId="0" shapeId="0">
      <text>
        <t>Status para auditit: Not Started
Audit: 2026-09-07
Nuk u gjet deployment/production rollout ose raport smoke prodhimi.
Mbetet: Duhet immutable artifact promotion, runtime config/roles, prod migrations, cohort rollout, monitoring dhe rollback/smoke evidence. Localhost nuk është prodhim.</t>
      </text>
    </comment>
    <comment ref="S132" authorId="1" shapeId="0">
      <text>
        <t>Burim i rishikimit, jo deklaratë se Test Evidence M është kaluar.</t>
      </text>
    </comment>
    <comment ref="L133" authorId="0" shapeId="0">
      <text>
        <t>Status para auditit: Not Started
Audit: 2026-09-07
Strategjia, fushatat, marketing learning dhe attribution janë shtyrë nga scope-i aktiv sipas kërkesës së përdoruesit.
Mbetet: Rihapen pas ciklit të postimeve me domain të versionuar, metric/evidence refs dhe testet përkatëse. Tabelat/array bosh nuk janë implementim.</t>
      </text>
    </comment>
    <comment ref="S133" authorId="1" shapeId="0">
      <text>
        <t>Burim i rishikimit, jo deklaratë se Test Evidence M është kaluar.</t>
      </text>
    </comment>
    <comment ref="V133" authorId="0" shapeId="0">
      <text>
        <t>Para auditit 2026-09-07:
GA
Arsyeja: Kërkesa e përdoruesit: vetëm postime; ekip/fushata/analitikë shtyhen, nuk shënohen Done.</t>
      </text>
    </comment>
    <comment ref="L134" authorId="0" shapeId="0">
      <text>
        <t>Status para auditit: Not Started
Audit: 2026-09-07
Strategjia, fushatat, marketing learning dhe attribution janë shtyrë nga scope-i aktiv sipas kërkesës së përdoruesit.
Mbetet: Rihapen pas ciklit të postimeve me domain të versionuar, metric/evidence refs dhe testet përkatëse. Tabelat/array bosh nuk janë implementim.</t>
      </text>
    </comment>
    <comment ref="S134" authorId="1" shapeId="0">
      <text>
        <t>Burim i rishikimit, jo deklaratë se Test Evidence M është kaluar.</t>
      </text>
    </comment>
    <comment ref="V134" authorId="0" shapeId="0">
      <text>
        <t>Para auditit 2026-09-07:
GA
Arsyeja: Kërkesa e përdoruesit: vetëm postime; ekip/fushata/analitikë shtyhen, nuk shënohen Done.</t>
      </text>
    </comment>
    <comment ref="L135" authorId="0" shapeId="0">
      <text>
        <t>Status para auditit: Not Started
Audit: 2026-09-07
Kontrolle të ruajtura content/publication për caption/placeholders/rights/image/format/IG dhe PASS/BLOCK; Meta ndahet nga miratimi.
Mbetet: Mungojnë policy versions, vertical packs, reason-code/evidence contract, override capability/reason/audit dhe golden fixtures.</t>
      </text>
    </comment>
    <comment ref="S135" authorId="1" shapeId="0">
      <text>
        <t>Burim i rishikimit, jo deklaratë se Test Evidence M është kaluar.</t>
      </text>
    </comment>
    <comment ref="L136" authorId="0" shapeId="0">
      <text>
        <t>Status para auditit: Not Started
Audit: 2026-09-07
AI gate nga env, trial dhe kufi ditor nga DB; të dhënat ruhen kur provider nuk është aktiv.
Mbetet: Mungon monetary estimate/reserve/commit/release, soft/hard budget, cost metadata, anomaly counters dhe audited kill-switch/concurrency tests.</t>
      </text>
    </comment>
    <comment ref="S136" authorId="1" shapeId="0">
      <text>
        <t>Burim i rishikimit, jo deklaratë se Test Evidence M është kaluar.</t>
      </text>
    </comment>
    <comment ref="L137" authorId="0" shapeId="0">
      <text>
        <t>Status para auditit: Not Started
Audit: 2026-09-07
Server /api/capabilities lexon konfigurimin e provider-ëve; klienti nuk mund të aktivizojë worker/AI pa env.
Mbetet: Nuk ka feature-flag service me cohort/owner/expiry/audit/kill-switch administration apo typed evaluated flag tests.</t>
      </text>
    </comment>
    <comment ref="S137" authorId="1" shapeId="0">
      <text>
        <t>Burim i rishikimit, jo deklaratë se Test Evidence M është kaluar.</t>
      </text>
    </comment>
    <comment ref="E138" authorId="0" shapeId="0">
      <text>
        <t>Para auditit 2026-09-07:
Create Nuxt UI Dashboard overview: Today queue, approvals, failures, next actions, monthly plan progress, upcoming posts, performance snapshot and quick-create.
Arsyeja: Përshtatur me kërkesat e shprehura: Nuxt UI, biznes real/PostgreSQL, pa demo, EUR/trial, Meta opsionale. Kriteret e sigurisë/prodhimit mbeten të hapura.</t>
      </text>
    </comment>
    <comment ref="F138" authorId="0" shapeId="0">
      <text>
        <t>Para auditit 2026-09-07:
Above fold prioritizes actions not vanity charts; skeleton/empty/error states complete; mobile approve/reconnect/quick-create works.
Arsyeja: Përshtatur me kërkesat e shprehura: Nuxt UI, biznes real/PostgreSQL, pa demo, EUR/trial, Meta opsionale. Kriteret e sigurisë/prodhimit mbeten të hapura.</t>
      </text>
    </comment>
    <comment ref="L138" authorId="0" shapeId="0">
      <text>
        <t>Status para auditit: Not Started
Audit: 2026-09-07
Overview i pastër me next actions, counts reale dhe lista postimesh që hapen me veprim; quick-create dhe kalendar.
Mbetet: Scope aktual heq campaigns/performance vanity metrics. Mbetet UAT/a11y/visual/performance review dhe RG-17.</t>
      </text>
    </comment>
    <comment ref="S138" authorId="1" shapeId="0">
      <text>
        <t>Burim i rishikimit, jo deklaratë se Test Evidence M është kaluar.</t>
      </text>
    </comment>
    <comment ref="L139" authorId="0" shapeId="0">
      <text>
        <t>Status para auditit: Not Started
Audit: 2026-09-07
Strategjia, fushatat, marketing learning dhe attribution janë shtyrë nga scope-i aktiv sipas kërkesës së përdoruesit.
Mbetet: Rihapen pas ciklit të postimeve me domain të versionuar, metric/evidence refs dhe testet përkatëse. Tabelat/array bosh nuk janë implementim.</t>
      </text>
    </comment>
    <comment ref="S139" authorId="1" shapeId="0">
      <text>
        <t>Burim i rishikimit, jo deklaratë se Test Evidence M është kaluar.</t>
      </text>
    </comment>
    <comment ref="V139" authorId="0" shapeId="0">
      <text>
        <t>Para auditit 2026-09-07:
GA
Arsyeja: Kërkesa e përdoruesit: vetëm postime; ekip/fushata/analitikë shtyhen, nuk shënohen Done.</t>
      </text>
    </comment>
    <comment ref="L140" authorId="0" shapeId="0">
      <text>
        <t>Status para auditit: Not Started
Audit: 2026-09-07
Strategjia, fushatat, marketing learning dhe attribution janë shtyrë nga scope-i aktiv sipas kërkesës së përdoruesit.
Mbetet: Rihapen pas ciklit të postimeve me domain të versionuar, metric/evidence refs dhe testet përkatëse. Tabelat/array bosh nuk janë implementim.</t>
      </text>
    </comment>
    <comment ref="S140" authorId="1" shapeId="0">
      <text>
        <t>Burim i rishikimit, jo deklaratë se Test Evidence M është kaluar.</t>
      </text>
    </comment>
    <comment ref="V140" authorId="0" shapeId="0">
      <text>
        <t>Para auditit 2026-09-07:
GA
Arsyeja: Kërkesa e përdoruesit: vetëm postime; ekip/fushata/analitikë shtyhen, nuk shënohen Done.</t>
      </text>
    </comment>
    <comment ref="L141" authorId="0" shapeId="0">
      <text>
        <t>Status para auditit: Not Started
Audit: 2026-09-07
Command palette me keyboard/mobile hyrje, navigation dhe kërkim në postimet e biznesit të ngarkuar.
Mbetet: Mungojnë server search me pagination, recent entities/capability action matrix dhe authz/search fixtures.</t>
      </text>
    </comment>
    <comment ref="S141" authorId="1" shapeId="0">
      <text>
        <t>Burim i rishikimit, jo deklaratë se Test Evidence M është kaluar.</t>
      </text>
    </comment>
    <comment ref="L142" authorId="0" shapeId="0">
      <text>
        <t>Status para auditit: Not Started
Audit: 2026-09-07
CopilotPanel është udhëzim/navigim dhe CaptionAssistant është gjenerues tekstesh me kërkesë të përdoruesit.
Mbetet: Nuk ka AI chat me typed tool proposals/confirm/abort/artifact links ose safety E2E. Udhëzimet statike nuk shënohen si AI Copilot.</t>
      </text>
    </comment>
    <comment ref="S142" authorId="1" shapeId="0">
      <text>
        <t>Burim i rishikimit, jo deklaratë se Test Evidence M është kaluar.</t>
      </text>
    </comment>
    <comment ref="L143" authorId="0" shapeId="0">
      <text>
        <t>Status para auditit: Not Started
Audit: 2026-09-07
Strategjia, fushatat, marketing learning dhe attribution janë shtyrë nga scope-i aktiv sipas kërkesës së përdoruesit.
Mbetet: Rihapen pas ciklit të postimeve me domain të versionuar, metric/evidence refs dhe testet përkatëse. Tabelat/array bosh nuk janë implementim.</t>
      </text>
    </comment>
    <comment ref="S143" authorId="1" shapeId="0">
      <text>
        <t>Burim i rishikimit, jo deklaratë se Test Evidence M është kaluar.</t>
      </text>
    </comment>
    <comment ref="V143" authorId="0" shapeId="0">
      <text>
        <t>Para auditit 2026-09-07:
GA
Arsyeja: Kërkesa e përdoruesit: vetëm postime; ekip/fushata/analitikë shtyhen, nuk shënohen Done.</t>
      </text>
    </comment>
    <comment ref="L144" authorId="0" shapeId="0">
      <text>
        <t>Status para auditit: Not Started
Audit: 2026-09-07
Kontrollet aktuale janë teknike dhe të përgjithshme.
Mbetet: Mungojnë vertical policy/eval packs për dental/beauty, restaurant/cafe, real-estate/construction, human rubric dhe golden thresholds.</t>
      </text>
    </comment>
    <comment ref="S144" authorId="1" shapeId="0">
      <text>
        <t>Burim i rishikimit, jo deklaratë se Test Evidence M është kaluar.</t>
      </text>
    </comment>
    <comment ref="L145" authorId="0" shapeId="0">
      <text>
        <t>Status para auditit: Not Started
Audit: 2026-09-07
Post schema njeh static/carousel; vetëm static lejohet nga kontrollet; account publishing permissions kontrollohen.
Mbetet: Mungon ContentFormat/ChannelCapability registry qendror, contract tests dhe reel/story schema; kontrollet janë ende të shpërndara.</t>
      </text>
    </comment>
    <comment ref="S145" authorId="1" shapeId="0">
      <text>
        <t>Burim i rishikimit, jo deklaratë se Test Evidence M është kaluar.</t>
      </text>
    </comment>
    <comment ref="L146" authorId="0" shapeId="0">
      <text>
        <t>Status para auditit: Not Started
Audit: 2026-09-07
Trial 72h, expiry/blocked/revoked dhe paid entitlement validity funksionojnë në DB.
Mbetet: Nuk ka subscription trial→active/past_due/grace/cancel/refund/chargeback state machine ose provider webhooks/out-of-order tests.</t>
      </text>
    </comment>
    <comment ref="S146" authorId="1" shapeId="0">
      <text>
        <t>Burim i rishikimit, jo deklaratë se Test Evidence M është kaluar.</t>
      </text>
    </comment>
    <comment ref="L147" authorId="0" shapeId="0">
      <text>
        <t>Status para auditit: Not Started
Audit: 2026-09-07
Asset rights boolean, EXIF stripping, private media dhe shpjegim i cookie/device/trial në privacy UI.
Mbetet: Mungojnë likeness/retention classes, provider-authenticated deletion callback, purge jobs dhe compliance export metadata. Cookie e nënshkruar është identifikues shfletuesi, jo provë pajisjeje fizike.</t>
      </text>
    </comment>
    <comment ref="S147" authorId="1" shapeId="0">
      <text>
        <t>Burim i rishikimit, jo deklaratë se Test Evidence M është kaluar.</t>
      </text>
    </comment>
    <comment ref="L148" authorId="0" shapeId="0">
      <text>
        <t>Status para auditit: Not Started
Audit: 2026-09-07
Admin/support console/API nuk gjendet në rrugët aktive.
Mbetet: Duhet shërbim i privilegjuar metadata-first, safe diagnostics/actions me reason/audit, tenant checks dhe server pagination. Kjo mbetet kriter operacional.</t>
      </text>
    </comment>
    <comment ref="S148" authorId="1" shapeId="0">
      <text>
        <t>Burim i rishikimit, jo deklaratë se Test Evidence M është kaluar.</t>
      </text>
    </comment>
    <comment ref="L149" authorId="0" shapeId="0">
      <text>
        <t>Status para auditit: Not Started
Audit: 2026-09-07
Prompt-i trajton JSON/social captions si të dhëna të pabesuara; history vetëm për stil; output i strukturuar; modeli nuk merr publikim/tools.
Mbetet: Nuk ka adversarial injection eval suite, provenance/policy enforcement të claim-eve ose tool allowlist test. Prompt-i vetëm nuk provon rezistencë ndaj injection.</t>
      </text>
    </comment>
    <comment ref="S149" authorId="1" shapeId="0">
      <text>
        <t>Burim i rishikimit, jo deklaratë se Test Evidence M është kaluar.</t>
      </text>
    </comment>
    <comment ref="L150" authorId="0" shapeId="0">
      <text>
        <t>Status para auditit: Not Started
Audit: 2026-09-07
Nuk ka version registry/canary promotion ose spend anomaly/circuit-breaker workflow.
Mbetet: Duhet state/audit/eval threshold, rollback/canary ose anomaly/breaker/alert recovery sipas acceptance criteria; env gate nuk e zëvendëson.</t>
      </text>
    </comment>
    <comment ref="S150" authorId="1" shapeId="0">
      <text>
        <t>Burim i rishikimit, jo deklaratë se Test Evidence M është kaluar.</t>
      </text>
    </comment>
    <comment ref="L151" authorId="0" shapeId="0">
      <text>
        <t>Status para auditit: Not Started
Audit: 2026-09-07
Nuk ka version registry/canary promotion ose spend anomaly/circuit-breaker workflow.
Mbetet: Duhet state/audit/eval threshold, rollback/canary ose anomaly/breaker/alert recovery sipas acceptance criteria; env gate nuk e zëvendëson.</t>
      </text>
    </comment>
    <comment ref="S151" authorId="1" shapeId="0">
      <text>
        <t>Burim i rishikimit, jo deklaratë se Test Evidence M është kaluar.</t>
      </text>
    </comment>
    <comment ref="L152" authorId="0" shapeId="0">
      <text>
        <t>Status para auditit: Not Started
Audit: 2026-09-07
Strategjia, fushatat, marketing learning dhe attribution janë shtyrë nga scope-i aktiv sipas kërkesës së përdoruesit.
Mbetet: Rihapen pas ciklit të postimeve me domain të versionuar, metric/evidence refs dhe testet përkatëse. Tabelat/array bosh nuk janë implementim.</t>
      </text>
    </comment>
    <comment ref="S152" authorId="1" shapeId="0">
      <text>
        <t>Burim i rishikimit, jo deklaratë se Test Evidence M është kaluar.</t>
      </text>
    </comment>
    <comment ref="V152" authorId="0" shapeId="0">
      <text>
        <t>Para auditit 2026-09-07:
GA
Arsyeja: Kërkesa e përdoruesit: vetëm postime; ekip/fushata/analitikë shtyhen, nuk shënohen Done.</t>
      </text>
    </comment>
    <comment ref="L153" authorId="0" shapeId="0">
      <text>
        <t>Status para auditit: Not Started
Audit: 2026-09-07
CopilotPanel është udhëzim/navigim dhe CaptionAssistant është gjenerues tekstesh me kërkesë të përdoruesit.
Mbetet: Nuk ka AI chat me typed tool proposals/confirm/abort/artifact links ose safety E2E. Udhëzimet statike nuk shënohen si AI Copilot.</t>
      </text>
    </comment>
    <comment ref="S153" authorId="1" shapeId="0">
      <text>
        <t>Burim i rishikimit, jo deklaratë se Test Evidence M është kaluar.</t>
      </text>
    </comment>
    <comment ref="L154" authorId="0" shapeId="0">
      <text>
        <t>Status para auditit: Not Started
Audit: 2026-09-07
Template catalog në DB me API, search/filter, preview dhe create-from-template; demo seeds u çaktivizuan.
Mbetet: Mungojnë versionim/brand substitution vetëm me verified facts, vertical/format completeness dhe policy/E2E fixtures.</t>
      </text>
    </comment>
    <comment ref="S154" authorId="1" shapeId="0">
      <text>
        <t>Burim i rishikimit, jo deklaratë se Test Evidence M është kaluar.</t>
      </text>
    </comment>
    <comment ref="L155" authorId="0" shapeId="0">
      <text>
        <t>Status para auditit: Not Started
Audit: 2026-09-07
Kontrolli i përmbajtjes shfaq arsye konkrete dhe bllokon gabimet; checkbox manual para approve; local/publication checks të ndara.
Mbetet: Nuk ka factuality/claim provenance, versioned policy ose override capability/reason/audit. Meta e palidhur nuk trajtohet si content BLOCK.</t>
      </text>
    </comment>
    <comment ref="S155" authorId="1" shapeId="0">
      <text>
        <t>Burim i rishikimit, jo deklaratë se Test Evidence M është kaluar.</t>
      </text>
    </comment>
    <comment ref="L156" authorId="0" shapeId="0">
      <text>
        <t>Status para auditit: Not Started
Audit: 2026-09-07
Admin/support console/API nuk gjendet në rrugët aktive.
Mbetet: Duhet shërbim i privilegjuar metadata-first, safe diagnostics/actions me reason/audit, tenant checks dhe server pagination. Kjo mbetet kriter operacional.</t>
      </text>
    </comment>
    <comment ref="S156" authorId="1" shapeId="0">
      <text>
        <t>Burim i rishikimit, jo deklaratë se Test Evidence M është kaluar.</t>
      </text>
    </comment>
    <comment ref="L157" authorId="0" shapeId="0">
      <text>
        <t>Status para auditit: Not Started
Audit: 2026-09-07
Billing/TrialBanner shfaq active/expired/blocked/revoked pa pretenduar pagesë të suksesshme; të dhënat mbeten.
Mbetet: Mungojnë failed-payment/grace/change-plan/cancel/reactivate/provider-return dhe E2E komerciale.</t>
      </text>
    </comment>
    <comment ref="S157" authorId="1" shapeId="0">
      <text>
        <t>Burim i rishikimit, jo deklaratë se Test Evidence M është kaluar.</t>
      </text>
    </comment>
    <comment ref="L158" authorId="0" shapeId="0">
      <text>
        <t>Status para auditit: Not Started
Audit: 2026-09-07
Preferences për approval/published/tips ruhen në server.
Mbetet: Nuk ka event delivery që i konsumon, per-event in-app/email matrix, mandatory security notices ose dedupe integration tests.</t>
      </text>
    </comment>
    <comment ref="S158" authorId="1" shapeId="0">
      <text>
        <t>Burim i rishikimit, jo deklaratë se Test Evidence M është kaluar.</t>
      </text>
    </comment>
    <comment ref="L159" authorId="0" shapeId="0">
      <text>
        <t>Status para auditit: Not Started
Audit: 2026-09-07
Settings me profile/preferences/notifications/security/organization, password/sessions reale, export dhe lidhje te biznesi/billing.
Mbetet: Mungojnë organization deletion/danger zone lifecycle dhe testimi i gjithë IA; team/multi-brand është shtyrë.</t>
      </text>
    </comment>
    <comment ref="S159" authorId="1" shapeId="0">
      <text>
        <t>Burim i rishikimit, jo deklaratë se Test Evidence M është kaluar.</t>
      </text>
    </comment>
    <comment ref="L160" authorId="0" shapeId="0">
      <text>
        <t>Status para auditit: Not Started
Audit: 2026-09-07
Mobile Chromium 390px kalon approve/calendar pa Meta; upload/quick-create dhe dialogs janë në Nuxt UI.
Mbetet: Duhet provë 360px/pajisje fizike, reject/deep-links/reschedule/reconnect dhe touch-target review. Nuk është test Safari/iPhone real.</t>
      </text>
    </comment>
    <comment ref="S160" authorId="1" shapeId="0">
      <text>
        <t>Burim i rishikimit, jo deklaratë se Test Evidence M është kaluar.</t>
      </text>
    </comment>
    <comment ref="L161" authorId="0" shapeId="0">
      <text>
        <t>Status para auditit: Not Started
Audit: 2026-09-07
Shared useDraft/sessionStorage, server revision, debounce autosave, conflict UI dhe navigation protection për postime.
Mbetet: Duhet fault E2E offline/intermittent/concurrent recovery; strategy/campaign është jashtë scope-it dhe nuk deklarohet përfunduar.</t>
      </text>
    </comment>
    <comment ref="S161" authorId="1" shapeId="0">
      <text>
        <t>Burim i rishikimit, jo deklaratë se Test Evidence M është kaluar.</t>
      </text>
    </comment>
    <comment ref="L162" authorId="0" shapeId="0">
      <text>
        <t>Status para auditit: Not Started
Audit: 2026-09-07
Motion for Vue/LandingMotion dhe reduced-motion CSS ekzistojnë.
Mbetet: Mungon system QA për panel/list/reorder/progress dhe representative-load/reduced-motion tests të build-it aktual.</t>
      </text>
    </comment>
    <comment ref="S162" authorId="1" shapeId="0">
      <text>
        <t>Burim i rishikimit, jo deklaratë se Test Evidence M është kaluar.</t>
      </text>
    </comment>
    <comment ref="E163" authorId="0" shapeId="0">
      <text>
        <t>Para auditit 2026-09-07:
Add resumable checklist, inline explanations, help links, empty-state actions and optional sample/demo content path that is clearly separated from real data.
Arsyeja: Përshtatur me kërkesat e shprehura: Nuxt UI, biznes real/PostgreSQL, pa demo, EUR/trial, Meta opsionale. Kriteret e sigurisë/prodhimit mbeten të hapura.</t>
      </text>
    </comment>
    <comment ref="F163" authorId="0" shapeId="0">
      <text>
        <t>Para auditit 2026-09-07:
New user always has next action; sample data cannot be published accidentally; checklist reflects real server state.
Arsyeja: Përshtatur me kërkesat e shprehura: Nuxt UI, biznes real/PostgreSQL, pa demo, EUR/trial, Meta opsionale. Kriteret e sigurisë/prodhimit mbeten të hapura.</t>
      </text>
    </comment>
    <comment ref="L163" authorId="0" shapeId="0">
      <text>
        <t>Status para auditit: Not Started
Audit: 2026-09-07
Demo runtime u hoq; përdoruesi krijon biznes real me onboarding, empty-state CTA dhe trial; miratimi/kalendari nuk kërkojnë Meta.
Mbetet: Scope është ndryshuar: pa sample/demo path. Mbetet full checklist/funnel UAT me biznese reale dhe RG-17.</t>
      </text>
    </comment>
    <comment ref="S163" authorId="1" shapeId="0">
      <text>
        <t>Burim i rishikimit, jo deklaratë se Test Evidence M është kaluar.</t>
      </text>
    </comment>
    <comment ref="L164" authorId="0" shapeId="0">
      <text>
        <t>Status para auditit: Not Started
Audit: 2026-09-07
Terms/privacy/security UI dhe env për operator/contact; shpjegohen data/trial/Meta/media.
Mbetet: Mungojnë owner-approved legal pack, subprocessors/data inventory/retention, deletion callback dhe export/purge runbooks të provuara.</t>
      </text>
    </comment>
    <comment ref="S164" authorId="1" shapeId="0">
      <text>
        <t>Burim i rishikimit, jo deklaratë se Test Evidence M është kaluar.</t>
      </text>
    </comment>
    <comment ref="L165" authorId="0" shapeId="0">
      <text>
        <t>Status para auditit: Not Started
Audit: 2026-09-07
Prova lokale për JWT-alternative session config, token encryption, graph error sanitization, trial concurrency dhe media signatures.
Mbetet: Mungon staged end-to-end provider/worker/AI/billing failure campaign me duplicates/timeouts/restarts dhe alerts. Unit fixtures nuk janë production fault evidence.</t>
      </text>
    </comment>
    <comment ref="S165" authorId="1" shapeId="0">
      <text>
        <t>Burim i rishikimit, jo deklaratë se Test Evidence M është kaluar.</t>
      </text>
    </comment>
    <comment ref="L166" authorId="0" shapeId="0">
      <text>
        <t>Status para auditit: Not Started
Audit: 2026-09-07
Plan catalog ka çmime të propozuara dhe AI daily request limit.
Mbetet: Nuk ka token/image cost model, approved COGS envelope, reserve ledger ose workload replay/hard-budget evidence.</t>
      </text>
    </comment>
    <comment ref="S166" authorId="1" shapeId="0">
      <text>
        <t>Burim i rishikimit, jo deklaratë se Test Evidence M është kaluar.</t>
      </text>
    </comment>
    <comment ref="L167" authorId="0" shapeId="0">
      <text>
        <t>Status para auditit: Not Started
Audit: 2026-09-07
Bundle-budget script dhe raport historik frontend ekzistojnë; route splitting/lazy media përdoren.
Mbetet: Duhet build aktual, Web Vitals/CLS/route budget evidence; payload-i i plotë i workspace dhe mungesa e thumbnails mbeten për optimizim.</t>
      </text>
    </comment>
    <comment ref="S167" authorId="1" shapeId="0">
      <text>
        <t>Burim i rishikimit, jo deklaratë se Test Evidence M është kaluar.</t>
      </text>
    </comment>
    <comment ref="L168" authorId="0" shapeId="0">
      <text>
        <t>Status para auditit: Not Started
Audit: 2026-09-07
Screenshot on failure dhe captures në testet e vjetra/reja.
Mbetet: Nuk ka approved baseline pixel-diff matrix light/dark/responsive/reduced-motion për build-in aktual. Screenshot nuk është visual regression assertion.</t>
      </text>
    </comment>
    <comment ref="S168" authorId="1" shapeId="0">
      <text>
        <t>Burim i rishikimit, jo deklaratë se Test Evidence M është kaluar.</t>
      </text>
    </comment>
    <comment ref="L169" authorId="0" shapeId="0">
      <text>
        <t>Status para auditit: Not Started
Audit: 2026-09-07
Fresh-account tests për signup lokal, empty workspace, pa Meta, approve/calendar dhe invalid content; truthfully disabled providers.
Mbetet: Mbeten revoked real account, quota exhausted/provider degraded UX suite dhe first-run UAT; jo të gjitha gjendjet janë provuar.</t>
      </text>
    </comment>
    <comment ref="S169" authorId="1" shapeId="0">
      <text>
        <t>Burim i rishikimit, jo deklaratë se Test Evidence M është kaluar.</t>
      </text>
    </comment>
    <comment ref="L170" authorId="0" shapeId="0">
      <text>
        <t>Status para auditit: Not Started
Audit: 2026-09-07
Carousel/Reel/video/Story janë zgjerime S9 pas-GA; rrjedha aktive lejon një fotografi statike për postim.
Mbetet: Rihapen pas registry/capability dhe provider approval; duhen media/transcode/composer dhe fault/idempotency tests. Enum carousel nuk është implementim.</t>
      </text>
    </comment>
    <comment ref="S170" authorId="1" shapeId="0">
      <text>
        <t>Burim i rishikimit, jo deklaratë se Test Evidence M është kaluar.</t>
      </text>
    </comment>
    <comment ref="L171" authorId="0" shapeId="0">
      <text>
        <t>Status para auditit: Not Started
Audit: 2026-09-07
Carousel/Reel/video/Story janë zgjerime S9 pas-GA; rrjedha aktive lejon një fotografi statike për postim.
Mbetet: Rihapen pas registry/capability dhe provider approval; duhen media/transcode/composer dhe fault/idempotency tests. Enum carousel nuk është implementim.</t>
      </text>
    </comment>
    <comment ref="S171" authorId="1" shapeId="0">
      <text>
        <t>Burim i rishikimit, jo deklaratë se Test Evidence M është kaluar.</t>
      </text>
    </comment>
    <comment ref="L172" authorId="0" shapeId="0">
      <text>
        <t>Status para auditit: Not Started
Audit: 2026-09-07
Carousel/Reel/video/Story janë zgjerime S9 pas-GA; rrjedha aktive lejon një fotografi statike për postim.
Mbetet: Rihapen pas registry/capability dhe provider approval; duhen media/transcode/composer dhe fault/idempotency tests. Enum carousel nuk është implementim.</t>
      </text>
    </comment>
    <comment ref="S172" authorId="1" shapeId="0">
      <text>
        <t>Burim i rishikimit, jo deklaratë se Test Evidence M është kaluar.</t>
      </text>
    </comment>
    <comment ref="L173" authorId="0" shapeId="0">
      <text>
        <t>Status para auditit: Not Started
Audit: 2026-09-07
Carousel/Reel/video/Story janë zgjerime S9 pas-GA; rrjedha aktive lejon një fotografi statike për postim.
Mbetet: Rihapen pas registry/capability dhe provider approval; duhen media/transcode/composer dhe fault/idempotency tests. Enum carousel nuk është implementim.</t>
      </text>
    </comment>
    <comment ref="S173" authorId="1" shapeId="0">
      <text>
        <t>Burim i rishikimit, jo deklaratë se Test Evidence M është kaluar.</t>
      </text>
    </comment>
    <comment ref="L174" authorId="0" shapeId="0">
      <text>
        <t>Status para auditit: Not Started
Audit: 2026-09-07
Carousel/Reel/video/Story janë zgjerime S9 pas-GA; rrjedha aktive lejon një fotografi statike për postim.
Mbetet: Rihapen pas registry/capability dhe provider approval; duhen media/transcode/composer dhe fault/idempotency tests. Enum carousel nuk është implementim.</t>
      </text>
    </comment>
    <comment ref="S174" authorId="1" shapeId="0">
      <text>
        <t>Burim i rishikimit, jo deklaratë se Test Evidence M është kaluar.</t>
      </text>
    </comment>
    <comment ref="L175" authorId="0" shapeId="0">
      <text>
        <t>Status para auditit: Not Started
Audit: 2026-09-07
Carousel/Reel/video/Story janë zgjerime S9 pas-GA; rrjedha aktive lejon një fotografi statike për postim.
Mbetet: Rihapen pas registry/capability dhe provider approval; duhen media/transcode/composer dhe fault/idempotency tests. Enum carousel nuk është implementim.</t>
      </text>
    </comment>
    <comment ref="S175" authorId="1" shapeId="0">
      <text>
        <t>Burim i rishikimit, jo deklaratë se Test Evidence M është kaluar.</t>
      </text>
    </comment>
    <comment ref="L176" authorId="0" shapeId="0">
      <text>
        <t>Status para auditit: Not Started
Audit: 2026-09-07
Agency dhe multi-brand janë jashtë scope-it me një biznes për pronar.
Mbetet: Rihapen bashkë me memberships/RBAC/RLS, cross-brand read models, batch guards dhe authz/load/E2E.</t>
      </text>
    </comment>
    <comment ref="S176" authorId="1" shapeId="0">
      <text>
        <t>Burim i rishikimit, jo deklaratë se Test Evidence M është kaluar.</t>
      </text>
    </comment>
    <comment ref="L177" authorId="0" shapeId="0">
      <text>
        <t>Status para auditit: Not Started
Audit: 2026-09-07
Agency dhe multi-brand janë jashtë scope-it me një biznes për pronar.
Mbetet: Rihapen bashkë me memberships/RBAC/RLS, cross-brand read models, batch guards dhe authz/load/E2E.</t>
      </text>
    </comment>
    <comment ref="S177" authorId="1" shapeId="0">
      <text>
        <t>Burim i rishikimit, jo deklaratë se Test Evidence M është kaluar.</t>
      </text>
    </comment>
    <comment ref="L178" authorId="0" shapeId="0">
      <text>
        <t>Status para auditit: Not Started
Audit: 2026-09-07
Bulk content actions janë planifikuar si zgjerim S9; nuk janë bërë.
Mbetet: Rihapen me batch commands/idempotency/per-item failures dhe UX selection të aksesueshme; bulk publishing nuk duhet të anashkalojë miratimin.</t>
      </text>
    </comment>
    <comment ref="S178" authorId="1" shapeId="0">
      <text>
        <t>Burim i rishikimit, jo deklaratë se Test Evidence M është kaluar.</t>
      </text>
    </comment>
    <comment ref="L179" authorId="0" shapeId="0">
      <text>
        <t>Status para auditit: Not Started
Audit: 2026-09-07
Bulk content actions janë planifikuar si zgjerim S9; nuk janë bërë.
Mbetet: Rihapen me batch commands/idempotency/per-item failures dhe UX selection të aksesueshme; bulk publishing nuk duhet të anashkalojë miratimin.</t>
      </text>
    </comment>
    <comment ref="S179" authorId="1" shapeId="0">
      <text>
        <t>Burim i rishikimit, jo deklaratë se Test Evidence M është kaluar.</t>
      </text>
    </comment>
    <comment ref="L180" authorId="0" shapeId="0">
      <text>
        <t>Status para auditit: Not Started
Audit: 2026-09-07
Eksperimentet dhe krahasimi i performancës janë pas-GA dhe jashtë fokusit aktual te krijimi/kalendari.
Mbetet: Rihapen pas analytics/metric windows, hypothesis/variant links dhe testimit të pasigurisë/statistikave.</t>
      </text>
    </comment>
    <comment ref="S180" authorId="1" shapeId="0">
      <text>
        <t>Burim i rishikimit, jo deklaratë se Test Evidence M është kaluar.</t>
      </text>
    </comment>
    <comment ref="L181" authorId="0" shapeId="0">
      <text>
        <t>Status para auditit: Not Started
Audit: 2026-09-07
Eksperimentet dhe krahasimi i performancës janë pas-GA dhe jashtë fokusit aktual te krijimi/kalendari.
Mbetet: Rihapen pas analytics/metric windows, hypothesis/variant links dhe testimit të pasigurisë/statistikave.</t>
      </text>
    </comment>
    <comment ref="S181" authorId="1" shapeId="0">
      <text>
        <t>Burim i rishikimit, jo deklaratë se Test Evidence M është kaluar.</t>
      </text>
    </comment>
    <comment ref="L182" authorId="0" shapeId="0">
      <text>
        <t>Status para auditit: Not Started
Audit: 2026-09-07
Autopilot që vendos vetë për postime nuk është implementuar dhe mbetet pas-GA.
Mbetet: Automatic scheduling aktual dërgon vetëm postimin e miratuar shprehimisht; nuk është autopilot. Duhen policy/frequency/quiet-hours/budget/pause/audit dhe safety tests.</t>
      </text>
    </comment>
    <comment ref="S182" authorId="1" shapeId="0">
      <text>
        <t>Burim i rishikimit, jo deklaratë se Test Evidence M është kaluar.</t>
      </text>
    </comment>
    <comment ref="L183" authorId="0" shapeId="0">
      <text>
        <t>Status para auditit: Not Started
Audit: 2026-09-07
Autopilot që vendos vetë për postime nuk është implementuar dhe mbetet pas-GA.
Mbetet: Automatic scheduling aktual dërgon vetëm postimin e miratuar shprehimisht; nuk është autopilot. Duhen policy/frequency/quiet-hours/budget/pause/audit dhe safety tests.</t>
      </text>
    </comment>
    <comment ref="S183" authorId="1" shapeId="0">
      <text>
        <t>Burim i rishikimit, jo deklaratë se Test Evidence M është kaluar.</t>
      </text>
    </comment>
    <comment ref="L184" authorId="0" shapeId="0">
      <text>
        <t>Status para auditit: Not Started
Audit: 2026-09-07
Ndërfaqja aktuale është shqip me EUR dhe timezone lokal; app/content locale switching është pas-GA.
Mbetet: Rihapen Albanian/English i18n, translated version provenance, deterministic fallback dhe multilingual eval/E2E.</t>
      </text>
    </comment>
    <comment ref="S184" authorId="1" shapeId="0">
      <text>
        <t>Burim i rishikimit, jo deklaratë se Test Evidence M është kaluar.</t>
      </text>
    </comment>
    <comment ref="L185" authorId="0" shapeId="0">
      <text>
        <t>Status para auditit: Not Started
Audit: 2026-09-07
Ndërfaqja aktuale është shqip me EUR dhe timezone lokal; app/content locale switching është pas-GA.
Mbetet: Rihapen Albanian/English i18n, translated version provenance, deterministic fallback dhe multilingual eval/E2E.</t>
      </text>
    </comment>
    <comment ref="S185" authorId="1" shapeId="0">
      <text>
        <t>Burim i rishikimit, jo deklaratë se Test Evidence M është kaluar.</t>
      </text>
    </comment>
    <comment ref="L186" authorId="0" shapeId="0">
      <text>
        <t>Status para auditit: Not Started
Audit: 2026-09-07
Agency/client reports dhe scheduled exports janë jashtë scope-it aktiv.
Mbetet: Rihapen pas analytics/learning me immutable reconciled report snapshot, async export dhe print/visual tests.</t>
      </text>
    </comment>
    <comment ref="S186" authorId="1" shapeId="0">
      <text>
        <t>Burim i rishikimit, jo deklaratë se Test Evidence M është kaluar.</t>
      </text>
    </comment>
    <comment ref="L187" authorId="0" shapeId="0">
      <text>
        <t>Status para auditit: Not Started
Audit: 2026-09-07
Agency/client reports dhe scheduled exports janë jashtë scope-it aktiv.
Mbetet: Rihapen pas analytics/learning me immutable reconciled report snapshot, async export dhe print/visual tests.</t>
      </text>
    </comment>
    <comment ref="S187" authorId="1" shapeId="0">
      <text>
        <t>Burim i rishikimit, jo deklaratë se Test Evidence M është kaluar.</t>
      </text>
    </comment>
    <comment ref="L188" authorId="0" shapeId="0">
      <text>
        <t>Status para auditit: Not Started
Audit: 2026-09-07
Overview ka next-actions të thjeshta nga gjendja; AI ranking/feedback/fatigue suppression mbetet S10.
Mbetet: Duhen persisted feedback/preference signals, ranking/reason/dismiss/later dhe replay/accessibility tests.</t>
      </text>
    </comment>
    <comment ref="S188" authorId="1" shapeId="0">
      <text>
        <t>Burim i rishikimit, jo deklaratë se Test Evidence M është kaluar.</t>
      </text>
    </comment>
    <comment ref="L189" authorId="0" shapeId="0">
      <text>
        <t>Status para auditit: Not Started
Audit: 2026-09-07
Overview ka next-actions të thjeshta nga gjendja; AI ranking/feedback/fatigue suppression mbetet S10.
Mbetet: Duhen persisted feedback/preference signals, ranking/reason/dismiss/later dhe replay/accessibility tests.</t>
      </text>
    </comment>
    <comment ref="S189" authorId="1" shapeId="0">
      <text>
        <t>Burim i rishikimit, jo deklaratë se Test Evidence M është kaluar.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docs/backlog-partial-progress-2026-09-08.json" TargetMode="External" Id="rId1" /><Relationship Type="http://schemas.openxmlformats.org/officeDocument/2006/relationships/hyperlink" Target="docs/backlog-code-handoff-2026-09-08.json" TargetMode="External" Id="rId2" /><Relationship Type="http://schemas.openxmlformats.org/officeDocument/2006/relationships/hyperlink" Target="docs/backlog-partial-progress-2026-09-08.json" TargetMode="External" Id="rId3" /><Relationship Type="http://schemas.openxmlformats.org/officeDocument/2006/relationships/hyperlink" Target="docs/backlog-code-handoff-2026-09-08.json" TargetMode="External" Id="rId4" /><Relationship Type="http://schemas.openxmlformats.org/officeDocument/2006/relationships/hyperlink" Target="docs/S0-A03-REPORT-SQ.md" TargetMode="External" Id="rId5" /><Relationship Type="http://schemas.openxmlformats.org/officeDocument/2006/relationships/hyperlink" Target="docs/S0-A03-REPORT-SQ.md" TargetMode="External" Id="rId6" /><Relationship Type="http://schemas.openxmlformats.org/officeDocument/2006/relationships/hyperlink" Target="docs/backlog-deep-audit-2026-09-07.json" TargetMode="External" Id="rId7" /><Relationship Type="http://schemas.openxmlformats.org/officeDocument/2006/relationships/hyperlink" Target="docs/backlog-code-handoff-2026-09-08.json" TargetMode="External" Id="rId8" /><Relationship Type="http://schemas.openxmlformats.org/officeDocument/2006/relationships/hyperlink" Target="docs/backlog-deep-audit-2026-09-07.json" TargetMode="External" Id="rId9" /><Relationship Type="http://schemas.openxmlformats.org/officeDocument/2006/relationships/hyperlink" Target="docs/backlog-code-handoff-2026-09-08.json" TargetMode="External" Id="rId10" /><Relationship Type="http://schemas.openxmlformats.org/officeDocument/2006/relationships/hyperlink" Target="docs/backlog-deep-audit-2026-09-07.json" TargetMode="External" Id="rId11" /><Relationship Type="http://schemas.openxmlformats.org/officeDocument/2006/relationships/hyperlink" Target="docs/backlog-code-handoff-2026-09-08.json" TargetMode="External" Id="rId12" /><Relationship Type="http://schemas.openxmlformats.org/officeDocument/2006/relationships/hyperlink" Target="docs/backlog-deep-audit-2026-09-07.json" TargetMode="External" Id="rId13" /><Relationship Type="http://schemas.openxmlformats.org/officeDocument/2006/relationships/hyperlink" Target="docs/backlog-code-handoff-2026-09-08.json" TargetMode="External" Id="rId14" /><Relationship Type="http://schemas.openxmlformats.org/officeDocument/2006/relationships/hyperlink" Target="docs/backlog-deep-audit-2026-09-07.json" TargetMode="External" Id="rId15" /><Relationship Type="http://schemas.openxmlformats.org/officeDocument/2006/relationships/hyperlink" Target="docs/backlog-code-handoff-2026-09-08.json" TargetMode="External" Id="rId16" /><Relationship Type="http://schemas.openxmlformats.org/officeDocument/2006/relationships/hyperlink" Target="docs/backlog-partial-progress-2026-09-08.json" TargetMode="External" Id="rId17" /><Relationship Type="http://schemas.openxmlformats.org/officeDocument/2006/relationships/hyperlink" Target="docs/backlog-code-handoff-2026-09-08.json" TargetMode="External" Id="rId18" /><Relationship Type="http://schemas.openxmlformats.org/officeDocument/2006/relationships/hyperlink" Target="docs/backlog-partial-progress-2026-09-08.json" TargetMode="External" Id="rId19" /><Relationship Type="http://schemas.openxmlformats.org/officeDocument/2006/relationships/hyperlink" Target="docs/backlog-code-handoff-2026-09-08.json" TargetMode="External" Id="rId20" /><Relationship Type="http://schemas.openxmlformats.org/officeDocument/2006/relationships/hyperlink" Target="docs/S0-B02-REPORT-SQ.md" TargetMode="External" Id="rId21" /><Relationship Type="http://schemas.openxmlformats.org/officeDocument/2006/relationships/hyperlink" Target="docs/backlog-code-handoff-2026-09-08.json" TargetMode="External" Id="rId22" /><Relationship Type="http://schemas.openxmlformats.org/officeDocument/2006/relationships/hyperlink" Target="docs/backlog-deep-audit-2026-09-07.json" TargetMode="External" Id="rId23" /><Relationship Type="http://schemas.openxmlformats.org/officeDocument/2006/relationships/hyperlink" Target="docs/backlog-code-handoff-2026-09-08.json" TargetMode="External" Id="rId24" /><Relationship Type="http://schemas.openxmlformats.org/officeDocument/2006/relationships/hyperlink" Target="docs/backlog-partial-progress-2026-09-08.json" TargetMode="External" Id="rId25" /><Relationship Type="http://schemas.openxmlformats.org/officeDocument/2006/relationships/hyperlink" Target="docs/backlog-code-handoff-2026-09-08.json" TargetMode="External" Id="rId26" /><Relationship Type="http://schemas.openxmlformats.org/officeDocument/2006/relationships/hyperlink" Target="docs/backlog-deep-audit-2026-09-07.json" TargetMode="External" Id="rId27" /><Relationship Type="http://schemas.openxmlformats.org/officeDocument/2006/relationships/hyperlink" Target="docs/backlog-code-handoff-2026-09-08.json" TargetMode="External" Id="rId28" /><Relationship Type="http://schemas.openxmlformats.org/officeDocument/2006/relationships/hyperlink" Target="docs/backlog-deep-audit-2026-09-07.json" TargetMode="External" Id="rId29" /><Relationship Type="http://schemas.openxmlformats.org/officeDocument/2006/relationships/hyperlink" Target="docs/backlog-code-handoff-2026-09-08.json" TargetMode="External" Id="rId30" /><Relationship Type="http://schemas.openxmlformats.org/officeDocument/2006/relationships/hyperlink" Target="docs/backlog-partial-progress-2026-09-08.json" TargetMode="External" Id="rId31" /><Relationship Type="http://schemas.openxmlformats.org/officeDocument/2006/relationships/hyperlink" Target="docs/backlog-code-handoff-2026-09-08.json" TargetMode="External" Id="rId32" /><Relationship Type="http://schemas.openxmlformats.org/officeDocument/2006/relationships/hyperlink" Target="docs/backlog-partial-progress-2026-09-08.json" TargetMode="External" Id="rId33" /><Relationship Type="http://schemas.openxmlformats.org/officeDocument/2006/relationships/hyperlink" Target="docs/backlog-code-handoff-2026-09-08.json" TargetMode="External" Id="rId34" /><Relationship Type="http://schemas.openxmlformats.org/officeDocument/2006/relationships/hyperlink" Target="docs/backlog-deep-audit-2026-09-07.json" TargetMode="External" Id="rId35" /><Relationship Type="http://schemas.openxmlformats.org/officeDocument/2006/relationships/hyperlink" Target="docs/backlog-code-handoff-2026-09-08.json" TargetMode="External" Id="rId36" /><Relationship Type="http://schemas.openxmlformats.org/officeDocument/2006/relationships/hyperlink" Target="docs/backlog-deep-audit-2026-09-07.json" TargetMode="External" Id="rId37" /><Relationship Type="http://schemas.openxmlformats.org/officeDocument/2006/relationships/hyperlink" Target="docs/backlog-code-handoff-2026-09-08.json" TargetMode="External" Id="rId38" /><Relationship Type="http://schemas.openxmlformats.org/officeDocument/2006/relationships/hyperlink" Target="docs/backlog-deep-audit-2026-09-07.json" TargetMode="External" Id="rId39" /><Relationship Type="http://schemas.openxmlformats.org/officeDocument/2006/relationships/hyperlink" Target="docs/backlog-code-handoff-2026-09-08.json" TargetMode="External" Id="rId40" /><Relationship Type="http://schemas.openxmlformats.org/officeDocument/2006/relationships/hyperlink" Target="docs/backlog-deep-audit-2026-09-07.json" TargetMode="External" Id="rId41" /><Relationship Type="http://schemas.openxmlformats.org/officeDocument/2006/relationships/hyperlink" Target="docs/backlog-code-handoff-2026-09-08.json" TargetMode="External" Id="rId42" /><Relationship Type="http://schemas.openxmlformats.org/officeDocument/2006/relationships/hyperlink" Target="docs/backlog-deep-audit-2026-09-07.json" TargetMode="External" Id="rId43" /><Relationship Type="http://schemas.openxmlformats.org/officeDocument/2006/relationships/hyperlink" Target="docs/backlog-code-handoff-2026-09-08.json" TargetMode="External" Id="rId44" /><Relationship Type="http://schemas.openxmlformats.org/officeDocument/2006/relationships/hyperlink" Target="docs/backlog-deep-audit-2026-09-07.json" TargetMode="External" Id="rId45" /><Relationship Type="http://schemas.openxmlformats.org/officeDocument/2006/relationships/hyperlink" Target="docs/backlog-code-handoff-2026-09-08.json" TargetMode="External" Id="rId46" /><Relationship Type="http://schemas.openxmlformats.org/officeDocument/2006/relationships/hyperlink" Target="docs/backlog-deep-audit-2026-09-07.json" TargetMode="External" Id="rId47" /><Relationship Type="http://schemas.openxmlformats.org/officeDocument/2006/relationships/hyperlink" Target="docs/backlog-code-handoff-2026-09-08.json" TargetMode="External" Id="rId48" /><Relationship Type="http://schemas.openxmlformats.org/officeDocument/2006/relationships/hyperlink" Target="docs/backlog-partial-progress-2026-09-08.json" TargetMode="External" Id="rId49" /><Relationship Type="http://schemas.openxmlformats.org/officeDocument/2006/relationships/hyperlink" Target="docs/backlog-code-handoff-2026-09-08.json" TargetMode="External" Id="rId50" /><Relationship Type="http://schemas.openxmlformats.org/officeDocument/2006/relationships/hyperlink" Target="docs/backlog-deep-audit-2026-09-07.json" TargetMode="External" Id="rId51" /><Relationship Type="http://schemas.openxmlformats.org/officeDocument/2006/relationships/hyperlink" Target="docs/backlog-code-handoff-2026-09-08.json" TargetMode="External" Id="rId52" /><Relationship Type="http://schemas.openxmlformats.org/officeDocument/2006/relationships/hyperlink" Target="docs/backlog-deep-audit-2026-09-07.json" TargetMode="External" Id="rId53" /><Relationship Type="http://schemas.openxmlformats.org/officeDocument/2006/relationships/hyperlink" Target="docs/backlog-code-handoff-2026-09-08.json" TargetMode="External" Id="rId54" /><Relationship Type="http://schemas.openxmlformats.org/officeDocument/2006/relationships/hyperlink" Target="docs/backlog-deep-audit-2026-09-07.json" TargetMode="External" Id="rId55" /><Relationship Type="http://schemas.openxmlformats.org/officeDocument/2006/relationships/hyperlink" Target="docs/backlog-code-handoff-2026-09-08.json" TargetMode="External" Id="rId56" /><Relationship Type="http://schemas.openxmlformats.org/officeDocument/2006/relationships/hyperlink" Target="docs/backlog-deep-audit-2026-09-07.json" TargetMode="External" Id="rId57" /><Relationship Type="http://schemas.openxmlformats.org/officeDocument/2006/relationships/hyperlink" Target="docs/backlog-code-handoff-2026-09-08.json" TargetMode="External" Id="rId58" /><Relationship Type="http://schemas.openxmlformats.org/officeDocument/2006/relationships/hyperlink" Target="docs/backlog-deep-audit-2026-09-07.json" TargetMode="External" Id="rId59" /><Relationship Type="http://schemas.openxmlformats.org/officeDocument/2006/relationships/hyperlink" Target="docs/backlog-code-handoff-2026-09-08.json" TargetMode="External" Id="rId60" /><Relationship Type="http://schemas.openxmlformats.org/officeDocument/2006/relationships/hyperlink" Target="docs/backlog-deep-audit-2026-09-07.json" TargetMode="External" Id="rId61" /><Relationship Type="http://schemas.openxmlformats.org/officeDocument/2006/relationships/hyperlink" Target="docs/backlog-code-handoff-2026-09-08.json" TargetMode="External" Id="rId62" /><Relationship Type="http://schemas.openxmlformats.org/officeDocument/2006/relationships/hyperlink" Target="docs/backlog-deep-audit-2026-09-07.json" TargetMode="External" Id="rId63" /><Relationship Type="http://schemas.openxmlformats.org/officeDocument/2006/relationships/hyperlink" Target="docs/backlog-code-handoff-2026-09-08.json" TargetMode="External" Id="rId64" /><Relationship Type="http://schemas.openxmlformats.org/officeDocument/2006/relationships/hyperlink" Target="docs/backlog-deep-audit-2026-09-07.json" TargetMode="External" Id="rId65" /><Relationship Type="http://schemas.openxmlformats.org/officeDocument/2006/relationships/hyperlink" Target="docs/backlog-code-handoff-2026-09-08.json" TargetMode="External" Id="rId66" /><Relationship Type="http://schemas.openxmlformats.org/officeDocument/2006/relationships/hyperlink" Target="docs/backlog-deep-audit-2026-09-07.json" TargetMode="External" Id="rId67" /><Relationship Type="http://schemas.openxmlformats.org/officeDocument/2006/relationships/hyperlink" Target="docs/backlog-code-handoff-2026-09-08.json" TargetMode="External" Id="rId68" /><Relationship Type="http://schemas.openxmlformats.org/officeDocument/2006/relationships/hyperlink" Target="docs/backlog-deep-audit-2026-09-07.json" TargetMode="External" Id="rId69" /><Relationship Type="http://schemas.openxmlformats.org/officeDocument/2006/relationships/hyperlink" Target="docs/backlog-code-handoff-2026-09-08.json" TargetMode="External" Id="rId70" /><Relationship Type="http://schemas.openxmlformats.org/officeDocument/2006/relationships/hyperlink" Target="docs/backlog-deep-audit-2026-09-07.json" TargetMode="External" Id="rId71" /><Relationship Type="http://schemas.openxmlformats.org/officeDocument/2006/relationships/hyperlink" Target="docs/backlog-code-handoff-2026-09-08.json" TargetMode="External" Id="rId72" /><Relationship Type="http://schemas.openxmlformats.org/officeDocument/2006/relationships/hyperlink" Target="docs/backlog-deep-audit-2026-09-07.json" TargetMode="External" Id="rId73" /><Relationship Type="http://schemas.openxmlformats.org/officeDocument/2006/relationships/hyperlink" Target="docs/backlog-code-handoff-2026-09-08.json" TargetMode="External" Id="rId74" /><Relationship Type="http://schemas.openxmlformats.org/officeDocument/2006/relationships/hyperlink" Target="docs/backlog-deep-audit-2026-09-07.json" TargetMode="External" Id="rId75" /><Relationship Type="http://schemas.openxmlformats.org/officeDocument/2006/relationships/hyperlink" Target="docs/backlog-code-handoff-2026-09-08.json" TargetMode="External" Id="rId76" /><Relationship Type="http://schemas.openxmlformats.org/officeDocument/2006/relationships/hyperlink" Target="docs/backlog-deep-audit-2026-09-07.json" TargetMode="External" Id="rId77" /><Relationship Type="http://schemas.openxmlformats.org/officeDocument/2006/relationships/hyperlink" Target="docs/backlog-code-handoff-2026-09-08.json" TargetMode="External" Id="rId78" /><Relationship Type="http://schemas.openxmlformats.org/officeDocument/2006/relationships/hyperlink" Target="docs/backlog-deep-audit-2026-09-07.json" TargetMode="External" Id="rId79" /><Relationship Type="http://schemas.openxmlformats.org/officeDocument/2006/relationships/hyperlink" Target="docs/backlog-code-handoff-2026-09-08.json" TargetMode="External" Id="rId80" /><Relationship Type="http://schemas.openxmlformats.org/officeDocument/2006/relationships/hyperlink" Target="docs/backlog-deep-audit-2026-09-07.json" TargetMode="External" Id="rId81" /><Relationship Type="http://schemas.openxmlformats.org/officeDocument/2006/relationships/hyperlink" Target="docs/backlog-code-handoff-2026-09-08.json" TargetMode="External" Id="rId82" /><Relationship Type="http://schemas.openxmlformats.org/officeDocument/2006/relationships/hyperlink" Target="docs/backlog-deep-audit-2026-09-07.json" TargetMode="External" Id="rId83" /><Relationship Type="http://schemas.openxmlformats.org/officeDocument/2006/relationships/hyperlink" Target="docs/backlog-code-handoff-2026-09-08.json" TargetMode="External" Id="rId84" /><Relationship Type="http://schemas.openxmlformats.org/officeDocument/2006/relationships/hyperlink" Target="docs/backlog-partial-progress-2026-09-08.json" TargetMode="External" Id="rId85" /><Relationship Type="http://schemas.openxmlformats.org/officeDocument/2006/relationships/hyperlink" Target="docs/backlog-code-handoff-2026-09-08.json" TargetMode="External" Id="rId86" /><Relationship Type="http://schemas.openxmlformats.org/officeDocument/2006/relationships/hyperlink" Target="docs/backlog-deep-audit-2026-09-07.json" TargetMode="External" Id="rId87" /><Relationship Type="http://schemas.openxmlformats.org/officeDocument/2006/relationships/hyperlink" Target="docs/backlog-code-handoff-2026-09-08.json" TargetMode="External" Id="rId88" /><Relationship Type="http://schemas.openxmlformats.org/officeDocument/2006/relationships/hyperlink" Target="docs/backlog-deep-audit-2026-09-07.json" TargetMode="External" Id="rId89" /><Relationship Type="http://schemas.openxmlformats.org/officeDocument/2006/relationships/hyperlink" Target="docs/backlog-code-handoff-2026-09-08.json" TargetMode="External" Id="rId90" /><Relationship Type="http://schemas.openxmlformats.org/officeDocument/2006/relationships/hyperlink" Target="docs/backlog-deep-audit-2026-09-07.json" TargetMode="External" Id="rId91" /><Relationship Type="http://schemas.openxmlformats.org/officeDocument/2006/relationships/hyperlink" Target="docs/backlog-code-handoff-2026-09-08.json" TargetMode="External" Id="rId92" /><Relationship Type="http://schemas.openxmlformats.org/officeDocument/2006/relationships/hyperlink" Target="docs/backlog-deep-audit-2026-09-07.json" TargetMode="External" Id="rId93" /><Relationship Type="http://schemas.openxmlformats.org/officeDocument/2006/relationships/hyperlink" Target="docs/backlog-code-handoff-2026-09-08.json" TargetMode="External" Id="rId94" /><Relationship Type="http://schemas.openxmlformats.org/officeDocument/2006/relationships/hyperlink" Target="docs/backlog-partial-progress-2026-09-08.json" TargetMode="External" Id="rId95" /><Relationship Type="http://schemas.openxmlformats.org/officeDocument/2006/relationships/hyperlink" Target="docs/backlog-code-handoff-2026-09-08.json" TargetMode="External" Id="rId96" /><Relationship Type="http://schemas.openxmlformats.org/officeDocument/2006/relationships/hyperlink" Target="docs/backlog-deep-audit-2026-09-07.json" TargetMode="External" Id="rId97" /><Relationship Type="http://schemas.openxmlformats.org/officeDocument/2006/relationships/hyperlink" Target="docs/backlog-code-handoff-2026-09-08.json" TargetMode="External" Id="rId98" /><Relationship Type="http://schemas.openxmlformats.org/officeDocument/2006/relationships/hyperlink" Target="docs/backlog-deep-audit-2026-09-07.json" TargetMode="External" Id="rId99" /><Relationship Type="http://schemas.openxmlformats.org/officeDocument/2006/relationships/hyperlink" Target="docs/backlog-code-handoff-2026-09-08.json" TargetMode="External" Id="rId100" /><Relationship Type="http://schemas.openxmlformats.org/officeDocument/2006/relationships/hyperlink" Target="docs/backlog-partial-progress-2026-09-08.json" TargetMode="External" Id="rId101" /><Relationship Type="http://schemas.openxmlformats.org/officeDocument/2006/relationships/hyperlink" Target="docs/backlog-code-handoff-2026-09-08.json" TargetMode="External" Id="rId102" /><Relationship Type="http://schemas.openxmlformats.org/officeDocument/2006/relationships/hyperlink" Target="docs/backlog-partial-progress-2026-09-08.json" TargetMode="External" Id="rId103" /><Relationship Type="http://schemas.openxmlformats.org/officeDocument/2006/relationships/hyperlink" Target="docs/backlog-code-handoff-2026-09-08.json" TargetMode="External" Id="rId104" /><Relationship Type="http://schemas.openxmlformats.org/officeDocument/2006/relationships/hyperlink" Target="docs/backlog-deep-audit-2026-09-07.json" TargetMode="External" Id="rId105" /><Relationship Type="http://schemas.openxmlformats.org/officeDocument/2006/relationships/hyperlink" Target="docs/backlog-code-handoff-2026-09-08.json" TargetMode="External" Id="rId106" /><Relationship Type="http://schemas.openxmlformats.org/officeDocument/2006/relationships/hyperlink" Target="docs/backlog-deep-audit-2026-09-07.json" TargetMode="External" Id="rId107" /><Relationship Type="http://schemas.openxmlformats.org/officeDocument/2006/relationships/hyperlink" Target="docs/backlog-code-handoff-2026-09-08.json" TargetMode="External" Id="rId108" /><Relationship Type="http://schemas.openxmlformats.org/officeDocument/2006/relationships/hyperlink" Target="docs/backlog-deep-audit-2026-09-07.json" TargetMode="External" Id="rId109" /><Relationship Type="http://schemas.openxmlformats.org/officeDocument/2006/relationships/hyperlink" Target="docs/backlog-code-handoff-2026-09-08.json" TargetMode="External" Id="rId110" /><Relationship Type="http://schemas.openxmlformats.org/officeDocument/2006/relationships/hyperlink" Target="docs/backlog-deep-audit-2026-09-07.json" TargetMode="External" Id="rId111" /><Relationship Type="http://schemas.openxmlformats.org/officeDocument/2006/relationships/hyperlink" Target="docs/backlog-code-handoff-2026-09-08.json" TargetMode="External" Id="rId112" /><Relationship Type="http://schemas.openxmlformats.org/officeDocument/2006/relationships/hyperlink" Target="docs/backlog-deep-audit-2026-09-07.json" TargetMode="External" Id="rId113" /><Relationship Type="http://schemas.openxmlformats.org/officeDocument/2006/relationships/hyperlink" Target="docs/backlog-code-handoff-2026-09-08.json" TargetMode="External" Id="rId114" /><Relationship Type="http://schemas.openxmlformats.org/officeDocument/2006/relationships/hyperlink" Target="docs/backlog-deep-audit-2026-09-07.json" TargetMode="External" Id="rId115" /><Relationship Type="http://schemas.openxmlformats.org/officeDocument/2006/relationships/hyperlink" Target="docs/backlog-code-handoff-2026-09-08.json" TargetMode="External" Id="rId116" /><Relationship Type="http://schemas.openxmlformats.org/officeDocument/2006/relationships/hyperlink" Target="docs/backlog-partial-progress-2026-09-08.json" TargetMode="External" Id="rId117" /><Relationship Type="http://schemas.openxmlformats.org/officeDocument/2006/relationships/hyperlink" Target="docs/backlog-code-handoff-2026-09-08.json" TargetMode="External" Id="rId118" /><Relationship Type="http://schemas.openxmlformats.org/officeDocument/2006/relationships/hyperlink" Target="docs/backlog-deep-audit-2026-09-07.json" TargetMode="External" Id="rId119" /><Relationship Type="http://schemas.openxmlformats.org/officeDocument/2006/relationships/hyperlink" Target="docs/backlog-code-handoff-2026-09-08.json" TargetMode="External" Id="rId120" /><Relationship Type="http://schemas.openxmlformats.org/officeDocument/2006/relationships/hyperlink" Target="docs/backlog-partial-progress-2026-09-08.json" TargetMode="External" Id="rId121" /><Relationship Type="http://schemas.openxmlformats.org/officeDocument/2006/relationships/hyperlink" Target="docs/backlog-code-handoff-2026-09-08.json" TargetMode="External" Id="rId122" /><Relationship Type="http://schemas.openxmlformats.org/officeDocument/2006/relationships/hyperlink" Target="docs/backlog-deep-audit-2026-09-07.json" TargetMode="External" Id="rId123" /><Relationship Type="http://schemas.openxmlformats.org/officeDocument/2006/relationships/hyperlink" Target="docs/backlog-code-handoff-2026-09-08.json" TargetMode="External" Id="rId124" /><Relationship Type="http://schemas.openxmlformats.org/officeDocument/2006/relationships/hyperlink" Target="docs/backlog-deep-audit-2026-09-07.json" TargetMode="External" Id="rId125" /><Relationship Type="http://schemas.openxmlformats.org/officeDocument/2006/relationships/hyperlink" Target="docs/backlog-code-handoff-2026-09-08.json" TargetMode="External" Id="rId126" /><Relationship Type="http://schemas.openxmlformats.org/officeDocument/2006/relationships/hyperlink" Target="docs/backlog-deep-audit-2026-09-07.json" TargetMode="External" Id="rId127" /><Relationship Type="http://schemas.openxmlformats.org/officeDocument/2006/relationships/hyperlink" Target="docs/backlog-code-handoff-2026-09-08.json" TargetMode="External" Id="rId128" /><Relationship Type="http://schemas.openxmlformats.org/officeDocument/2006/relationships/hyperlink" Target="docs/backlog-deep-audit-2026-09-07.json" TargetMode="External" Id="rId129" /><Relationship Type="http://schemas.openxmlformats.org/officeDocument/2006/relationships/hyperlink" Target="docs/backlog-code-handoff-2026-09-08.json" TargetMode="External" Id="rId130" /><Relationship Type="http://schemas.openxmlformats.org/officeDocument/2006/relationships/hyperlink" Target="docs/backlog-partial-progress-2026-09-08.json" TargetMode="External" Id="rId131" /><Relationship Type="http://schemas.openxmlformats.org/officeDocument/2006/relationships/hyperlink" Target="docs/backlog-code-handoff-2026-09-08.json" TargetMode="External" Id="rId132" /><Relationship Type="http://schemas.openxmlformats.org/officeDocument/2006/relationships/hyperlink" Target="docs/backlog-deep-audit-2026-09-07.json" TargetMode="External" Id="rId133" /><Relationship Type="http://schemas.openxmlformats.org/officeDocument/2006/relationships/hyperlink" Target="docs/backlog-code-handoff-2026-09-08.json" TargetMode="External" Id="rId134" /><Relationship Type="http://schemas.openxmlformats.org/officeDocument/2006/relationships/hyperlink" Target="docs/backlog-deep-audit-2026-09-07.json" TargetMode="External" Id="rId135" /><Relationship Type="http://schemas.openxmlformats.org/officeDocument/2006/relationships/hyperlink" Target="docs/backlog-code-handoff-2026-09-08.json" TargetMode="External" Id="rId136" /><Relationship Type="http://schemas.openxmlformats.org/officeDocument/2006/relationships/hyperlink" Target="docs/backlog-deep-audit-2026-09-07.json" TargetMode="External" Id="rId137" /><Relationship Type="http://schemas.openxmlformats.org/officeDocument/2006/relationships/hyperlink" Target="docs/backlog-code-handoff-2026-09-08.json" TargetMode="External" Id="rId138" /><Relationship Type="http://schemas.openxmlformats.org/officeDocument/2006/relationships/hyperlink" Target="docs/backlog-partial-progress-2026-09-08.json" TargetMode="External" Id="rId139" /><Relationship Type="http://schemas.openxmlformats.org/officeDocument/2006/relationships/hyperlink" Target="docs/backlog-code-handoff-2026-09-08.json" TargetMode="External" Id="rId140" /><Relationship Type="http://schemas.openxmlformats.org/officeDocument/2006/relationships/hyperlink" Target="docs/backlog-deep-audit-2026-09-07.json" TargetMode="External" Id="rId141" /><Relationship Type="http://schemas.openxmlformats.org/officeDocument/2006/relationships/hyperlink" Target="docs/backlog-code-handoff-2026-09-08.json" TargetMode="External" Id="rId142" /><Relationship Type="http://schemas.openxmlformats.org/officeDocument/2006/relationships/hyperlink" Target="docs/backlog-deep-audit-2026-09-07.json" TargetMode="External" Id="rId143" /><Relationship Type="http://schemas.openxmlformats.org/officeDocument/2006/relationships/hyperlink" Target="docs/backlog-code-handoff-2026-09-08.json" TargetMode="External" Id="rId144" /><Relationship Type="http://schemas.openxmlformats.org/officeDocument/2006/relationships/hyperlink" Target="docs/backlog-deep-audit-2026-09-07.json" TargetMode="External" Id="rId145" /><Relationship Type="http://schemas.openxmlformats.org/officeDocument/2006/relationships/hyperlink" Target="docs/backlog-code-handoff-2026-09-08.json" TargetMode="External" Id="rId146" /><Relationship Type="http://schemas.openxmlformats.org/officeDocument/2006/relationships/hyperlink" Target="docs/backlog-partial-progress-2026-09-08.json" TargetMode="External" Id="rId147" /><Relationship Type="http://schemas.openxmlformats.org/officeDocument/2006/relationships/hyperlink" Target="docs/backlog-code-handoff-2026-09-08.json" TargetMode="External" Id="rId148" /><Relationship Type="http://schemas.openxmlformats.org/officeDocument/2006/relationships/hyperlink" Target="docs/backlog-deep-audit-2026-09-07.json" TargetMode="External" Id="rId149" /><Relationship Type="http://schemas.openxmlformats.org/officeDocument/2006/relationships/hyperlink" Target="docs/backlog-code-handoff-2026-09-08.json" TargetMode="External" Id="rId150" /><Relationship Type="http://schemas.openxmlformats.org/officeDocument/2006/relationships/hyperlink" Target="docs/backlog-partial-progress-2026-09-08.json" TargetMode="External" Id="rId151" /><Relationship Type="http://schemas.openxmlformats.org/officeDocument/2006/relationships/hyperlink" Target="docs/backlog-code-handoff-2026-09-08.json" TargetMode="External" Id="rId152" /><Relationship Type="http://schemas.openxmlformats.org/officeDocument/2006/relationships/hyperlink" Target="docs/backlog-partial-progress-2026-09-08.json" TargetMode="External" Id="rId153" /><Relationship Type="http://schemas.openxmlformats.org/officeDocument/2006/relationships/hyperlink" Target="docs/backlog-code-handoff-2026-09-08.json" TargetMode="External" Id="rId154" /><Relationship Type="http://schemas.openxmlformats.org/officeDocument/2006/relationships/hyperlink" Target="docs/backlog-partial-progress-2026-09-08.json" TargetMode="External" Id="rId155" /><Relationship Type="http://schemas.openxmlformats.org/officeDocument/2006/relationships/hyperlink" Target="docs/backlog-code-handoff-2026-09-08.json" TargetMode="External" Id="rId156" /><Relationship Type="http://schemas.openxmlformats.org/officeDocument/2006/relationships/hyperlink" Target="docs/backlog-partial-progress-2026-09-08.json" TargetMode="External" Id="rId157" /><Relationship Type="http://schemas.openxmlformats.org/officeDocument/2006/relationships/hyperlink" Target="docs/backlog-code-handoff-2026-09-08.json" TargetMode="External" Id="rId158" /><Relationship Type="http://schemas.openxmlformats.org/officeDocument/2006/relationships/hyperlink" Target="docs/backlog-partial-progress-2026-09-08.json" TargetMode="External" Id="rId159" /><Relationship Type="http://schemas.openxmlformats.org/officeDocument/2006/relationships/hyperlink" Target="docs/backlog-code-handoff-2026-09-08.json" TargetMode="External" Id="rId160" /><Relationship Type="http://schemas.openxmlformats.org/officeDocument/2006/relationships/hyperlink" Target="docs/backlog-deep-audit-2026-09-07.json" TargetMode="External" Id="rId161" /><Relationship Type="http://schemas.openxmlformats.org/officeDocument/2006/relationships/hyperlink" Target="docs/backlog-code-handoff-2026-09-08.json" TargetMode="External" Id="rId162" /><Relationship Type="http://schemas.openxmlformats.org/officeDocument/2006/relationships/hyperlink" Target="docs/backlog-partial-progress-2026-09-08.json" TargetMode="External" Id="rId163" /><Relationship Type="http://schemas.openxmlformats.org/officeDocument/2006/relationships/hyperlink" Target="docs/backlog-code-handoff-2026-09-08.json" TargetMode="External" Id="rId164" /><Relationship Type="http://schemas.openxmlformats.org/officeDocument/2006/relationships/hyperlink" Target="docs/backlog-partial-progress-2026-09-08.json" TargetMode="External" Id="rId165" /><Relationship Type="http://schemas.openxmlformats.org/officeDocument/2006/relationships/hyperlink" Target="docs/backlog-code-handoff-2026-09-08.json" TargetMode="External" Id="rId166" /><Relationship Type="http://schemas.openxmlformats.org/officeDocument/2006/relationships/hyperlink" Target="docs/backlog-deep-audit-2026-09-07.json" TargetMode="External" Id="rId167" /><Relationship Type="http://schemas.openxmlformats.org/officeDocument/2006/relationships/hyperlink" Target="docs/backlog-code-handoff-2026-09-08.json" TargetMode="External" Id="rId168" /><Relationship Type="http://schemas.openxmlformats.org/officeDocument/2006/relationships/hyperlink" Target="docs/backlog-deep-audit-2026-09-07.json" TargetMode="External" Id="rId169" /><Relationship Type="http://schemas.openxmlformats.org/officeDocument/2006/relationships/hyperlink" Target="docs/backlog-code-handoff-2026-09-08.json" TargetMode="External" Id="rId170" /><Relationship Type="http://schemas.openxmlformats.org/officeDocument/2006/relationships/hyperlink" Target="docs/backlog-partial-progress-2026-09-08.json" TargetMode="External" Id="rId171" /><Relationship Type="http://schemas.openxmlformats.org/officeDocument/2006/relationships/hyperlink" Target="docs/backlog-code-handoff-2026-09-08.json" TargetMode="External" Id="rId172" /><Relationship Type="http://schemas.openxmlformats.org/officeDocument/2006/relationships/hyperlink" Target="docs/backlog-deep-audit-2026-09-07.json" TargetMode="External" Id="rId173" /><Relationship Type="http://schemas.openxmlformats.org/officeDocument/2006/relationships/hyperlink" Target="docs/backlog-code-handoff-2026-09-08.json" TargetMode="External" Id="rId174" /><Relationship Type="http://schemas.openxmlformats.org/officeDocument/2006/relationships/hyperlink" Target="docs/backlog-partial-progress-2026-09-08.json" TargetMode="External" Id="rId175" /><Relationship Type="http://schemas.openxmlformats.org/officeDocument/2006/relationships/hyperlink" Target="docs/backlog-code-handoff-2026-09-08.json" TargetMode="External" Id="rId176" /><Relationship Type="http://schemas.openxmlformats.org/officeDocument/2006/relationships/hyperlink" Target="docs/backlog-partial-progress-2026-09-08.json" TargetMode="External" Id="rId177" /><Relationship Type="http://schemas.openxmlformats.org/officeDocument/2006/relationships/hyperlink" Target="docs/backlog-code-handoff-2026-09-08.json" TargetMode="External" Id="rId178" /><Relationship Type="http://schemas.openxmlformats.org/officeDocument/2006/relationships/hyperlink" Target="docs/backlog-deep-audit-2026-09-07.json" TargetMode="External" Id="rId179" /><Relationship Type="http://schemas.openxmlformats.org/officeDocument/2006/relationships/hyperlink" Target="docs/backlog-code-handoff-2026-09-08.json" TargetMode="External" Id="rId180" /><Relationship Type="http://schemas.openxmlformats.org/officeDocument/2006/relationships/hyperlink" Target="docs/backlog-deep-audit-2026-09-07.json" TargetMode="External" Id="rId181" /><Relationship Type="http://schemas.openxmlformats.org/officeDocument/2006/relationships/hyperlink" Target="docs/backlog-code-handoff-2026-09-08.json" TargetMode="External" Id="rId182" /><Relationship Type="http://schemas.openxmlformats.org/officeDocument/2006/relationships/hyperlink" Target="docs/backlog-deep-audit-2026-09-07.json" TargetMode="External" Id="rId183" /><Relationship Type="http://schemas.openxmlformats.org/officeDocument/2006/relationships/hyperlink" Target="docs/backlog-code-handoff-2026-09-08.json" TargetMode="External" Id="rId184" /><Relationship Type="http://schemas.openxmlformats.org/officeDocument/2006/relationships/hyperlink" Target="docs/backlog-deep-audit-2026-09-07.json" TargetMode="External" Id="rId185" /><Relationship Type="http://schemas.openxmlformats.org/officeDocument/2006/relationships/hyperlink" Target="docs/backlog-code-handoff-2026-09-08.json" TargetMode="External" Id="rId186" /><Relationship Type="http://schemas.openxmlformats.org/officeDocument/2006/relationships/hyperlink" Target="docs/backlog-deep-audit-2026-09-07.json" TargetMode="External" Id="rId187" /><Relationship Type="http://schemas.openxmlformats.org/officeDocument/2006/relationships/hyperlink" Target="docs/backlog-code-handoff-2026-09-08.json" TargetMode="External" Id="rId188" /><Relationship Type="http://schemas.openxmlformats.org/officeDocument/2006/relationships/hyperlink" Target="docs/backlog-deep-audit-2026-09-07.json" TargetMode="External" Id="rId189" /><Relationship Type="http://schemas.openxmlformats.org/officeDocument/2006/relationships/hyperlink" Target="docs/backlog-code-handoff-2026-09-08.json" TargetMode="External" Id="rId190" /><Relationship Type="http://schemas.openxmlformats.org/officeDocument/2006/relationships/hyperlink" Target="docs/backlog-deep-audit-2026-09-07.json" TargetMode="External" Id="rId191" /><Relationship Type="http://schemas.openxmlformats.org/officeDocument/2006/relationships/hyperlink" Target="docs/backlog-code-handoff-2026-09-08.json" TargetMode="External" Id="rId192" /><Relationship Type="http://schemas.openxmlformats.org/officeDocument/2006/relationships/hyperlink" Target="docs/backlog-partial-progress-2026-09-08.json" TargetMode="External" Id="rId193" /><Relationship Type="http://schemas.openxmlformats.org/officeDocument/2006/relationships/hyperlink" Target="docs/backlog-code-handoff-2026-09-08.json" TargetMode="External" Id="rId194" /><Relationship Type="http://schemas.openxmlformats.org/officeDocument/2006/relationships/hyperlink" Target="docs/backlog-partial-progress-2026-09-08.json" TargetMode="External" Id="rId195" /><Relationship Type="http://schemas.openxmlformats.org/officeDocument/2006/relationships/hyperlink" Target="docs/backlog-code-handoff-2026-09-08.json" TargetMode="External" Id="rId196" /><Relationship Type="http://schemas.openxmlformats.org/officeDocument/2006/relationships/hyperlink" Target="docs/backlog-deep-audit-2026-09-07.json" TargetMode="External" Id="rId197" /><Relationship Type="http://schemas.openxmlformats.org/officeDocument/2006/relationships/hyperlink" Target="docs/backlog-code-handoff-2026-09-08.json" TargetMode="External" Id="rId198" /><Relationship Type="http://schemas.openxmlformats.org/officeDocument/2006/relationships/hyperlink" Target="docs/backlog-partial-progress-2026-09-08.json" TargetMode="External" Id="rId199" /><Relationship Type="http://schemas.openxmlformats.org/officeDocument/2006/relationships/hyperlink" Target="docs/backlog-code-handoff-2026-09-08.json" TargetMode="External" Id="rId200" /><Relationship Type="http://schemas.openxmlformats.org/officeDocument/2006/relationships/hyperlink" Target="docs/backlog-deep-audit-2026-09-07.json" TargetMode="External" Id="rId201" /><Relationship Type="http://schemas.openxmlformats.org/officeDocument/2006/relationships/hyperlink" Target="docs/backlog-code-handoff-2026-09-08.json" TargetMode="External" Id="rId202" /><Relationship Type="http://schemas.openxmlformats.org/officeDocument/2006/relationships/hyperlink" Target="docs/backlog-deep-audit-2026-09-07.json" TargetMode="External" Id="rId203" /><Relationship Type="http://schemas.openxmlformats.org/officeDocument/2006/relationships/hyperlink" Target="docs/backlog-code-handoff-2026-09-08.json" TargetMode="External" Id="rId204" /><Relationship Type="http://schemas.openxmlformats.org/officeDocument/2006/relationships/hyperlink" Target="docs/backlog-partial-progress-2026-09-08.json" TargetMode="External" Id="rId205" /><Relationship Type="http://schemas.openxmlformats.org/officeDocument/2006/relationships/hyperlink" Target="docs/backlog-code-handoff-2026-09-08.json" TargetMode="External" Id="rId206" /><Relationship Type="http://schemas.openxmlformats.org/officeDocument/2006/relationships/hyperlink" Target="docs/backlog-deep-audit-2026-09-07.json" TargetMode="External" Id="rId207" /><Relationship Type="http://schemas.openxmlformats.org/officeDocument/2006/relationships/hyperlink" Target="docs/backlog-code-handoff-2026-09-08.json" TargetMode="External" Id="rId208" /><Relationship Type="http://schemas.openxmlformats.org/officeDocument/2006/relationships/hyperlink" Target="docs/backlog-partial-progress-2026-09-08.json" TargetMode="External" Id="rId209" /><Relationship Type="http://schemas.openxmlformats.org/officeDocument/2006/relationships/hyperlink" Target="docs/backlog-code-handoff-2026-09-08.json" TargetMode="External" Id="rId210" /><Relationship Type="http://schemas.openxmlformats.org/officeDocument/2006/relationships/hyperlink" Target="docs/backlog-partial-progress-2026-09-08.json" TargetMode="External" Id="rId211" /><Relationship Type="http://schemas.openxmlformats.org/officeDocument/2006/relationships/hyperlink" Target="docs/backlog-code-handoff-2026-09-08.json" TargetMode="External" Id="rId212" /><Relationship Type="http://schemas.openxmlformats.org/officeDocument/2006/relationships/hyperlink" Target="docs/backlog-deep-audit-2026-09-07.json" TargetMode="External" Id="rId213" /><Relationship Type="http://schemas.openxmlformats.org/officeDocument/2006/relationships/hyperlink" Target="docs/backlog-code-handoff-2026-09-08.json" TargetMode="External" Id="rId214" /><Relationship Type="http://schemas.openxmlformats.org/officeDocument/2006/relationships/hyperlink" Target="docs/backlog-deep-audit-2026-09-07.json" TargetMode="External" Id="rId215" /><Relationship Type="http://schemas.openxmlformats.org/officeDocument/2006/relationships/hyperlink" Target="docs/backlog-code-handoff-2026-09-08.json" TargetMode="External" Id="rId216" /><Relationship Type="http://schemas.openxmlformats.org/officeDocument/2006/relationships/hyperlink" Target="docs/backlog-deep-audit-2026-09-07.json" TargetMode="External" Id="rId217" /><Relationship Type="http://schemas.openxmlformats.org/officeDocument/2006/relationships/hyperlink" Target="docs/backlog-code-handoff-2026-09-08.json" TargetMode="External" Id="rId218" /><Relationship Type="http://schemas.openxmlformats.org/officeDocument/2006/relationships/hyperlink" Target="docs/backlog-deep-audit-2026-09-07.json" TargetMode="External" Id="rId219" /><Relationship Type="http://schemas.openxmlformats.org/officeDocument/2006/relationships/hyperlink" Target="docs/backlog-code-handoff-2026-09-08.json" TargetMode="External" Id="rId220" /><Relationship Type="http://schemas.openxmlformats.org/officeDocument/2006/relationships/hyperlink" Target="docs/backlog-deep-audit-2026-09-07.json" TargetMode="External" Id="rId221" /><Relationship Type="http://schemas.openxmlformats.org/officeDocument/2006/relationships/hyperlink" Target="docs/backlog-code-handoff-2026-09-08.json" TargetMode="External" Id="rId222" /><Relationship Type="http://schemas.openxmlformats.org/officeDocument/2006/relationships/hyperlink" Target="docs/backlog-deep-audit-2026-09-07.json" TargetMode="External" Id="rId223" /><Relationship Type="http://schemas.openxmlformats.org/officeDocument/2006/relationships/hyperlink" Target="docs/backlog-code-handoff-2026-09-08.json" TargetMode="External" Id="rId224" /><Relationship Type="http://schemas.openxmlformats.org/officeDocument/2006/relationships/hyperlink" Target="docs/backlog-deep-audit-2026-09-07.json" TargetMode="External" Id="rId225" /><Relationship Type="http://schemas.openxmlformats.org/officeDocument/2006/relationships/hyperlink" Target="docs/backlog-code-handoff-2026-09-08.json" TargetMode="External" Id="rId226" /><Relationship Type="http://schemas.openxmlformats.org/officeDocument/2006/relationships/hyperlink" Target="docs/backlog-deep-audit-2026-09-07.json" TargetMode="External" Id="rId227" /><Relationship Type="http://schemas.openxmlformats.org/officeDocument/2006/relationships/hyperlink" Target="docs/backlog-code-handoff-2026-09-08.json" TargetMode="External" Id="rId228" /><Relationship Type="http://schemas.openxmlformats.org/officeDocument/2006/relationships/hyperlink" Target="docs/backlog-deep-audit-2026-09-07.json" TargetMode="External" Id="rId229" /><Relationship Type="http://schemas.openxmlformats.org/officeDocument/2006/relationships/hyperlink" Target="docs/backlog-code-handoff-2026-09-08.json" TargetMode="External" Id="rId230" /><Relationship Type="http://schemas.openxmlformats.org/officeDocument/2006/relationships/hyperlink" Target="docs/backlog-deep-audit-2026-09-07.json" TargetMode="External" Id="rId231" /><Relationship Type="http://schemas.openxmlformats.org/officeDocument/2006/relationships/hyperlink" Target="docs/backlog-code-handoff-2026-09-08.json" TargetMode="External" Id="rId232" /><Relationship Type="http://schemas.openxmlformats.org/officeDocument/2006/relationships/hyperlink" Target="docs/backlog-deep-audit-2026-09-07.json" TargetMode="External" Id="rId233" /><Relationship Type="http://schemas.openxmlformats.org/officeDocument/2006/relationships/hyperlink" Target="docs/backlog-code-handoff-2026-09-08.json" TargetMode="External" Id="rId234" /><Relationship Type="http://schemas.openxmlformats.org/officeDocument/2006/relationships/hyperlink" Target="docs/backlog-deep-audit-2026-09-07.json" TargetMode="External" Id="rId235" /><Relationship Type="http://schemas.openxmlformats.org/officeDocument/2006/relationships/hyperlink" Target="docs/backlog-code-handoff-2026-09-08.json" TargetMode="External" Id="rId236" /><Relationship Type="http://schemas.openxmlformats.org/officeDocument/2006/relationships/hyperlink" Target="docs/backlog-deep-audit-2026-09-07.json" TargetMode="External" Id="rId237" /><Relationship Type="http://schemas.openxmlformats.org/officeDocument/2006/relationships/hyperlink" Target="docs/backlog-code-handoff-2026-09-08.json" TargetMode="External" Id="rId238" /><Relationship Type="http://schemas.openxmlformats.org/officeDocument/2006/relationships/hyperlink" Target="docs/backlog-deep-audit-2026-09-07.json" TargetMode="External" Id="rId239" /><Relationship Type="http://schemas.openxmlformats.org/officeDocument/2006/relationships/hyperlink" Target="docs/backlog-code-handoff-2026-09-08.json" TargetMode="External" Id="rId240" /><Relationship Type="http://schemas.openxmlformats.org/officeDocument/2006/relationships/hyperlink" Target="docs/backlog-deep-audit-2026-09-07.json" TargetMode="External" Id="rId241" /><Relationship Type="http://schemas.openxmlformats.org/officeDocument/2006/relationships/hyperlink" Target="docs/backlog-code-handoff-2026-09-08.json" TargetMode="External" Id="rId242" /><Relationship Type="http://schemas.openxmlformats.org/officeDocument/2006/relationships/hyperlink" Target="docs/backlog-partial-progress-2026-09-08.json" TargetMode="External" Id="rId243" /><Relationship Type="http://schemas.openxmlformats.org/officeDocument/2006/relationships/hyperlink" Target="docs/backlog-code-handoff-2026-09-08.json" TargetMode="External" Id="rId244" /><Relationship Type="http://schemas.openxmlformats.org/officeDocument/2006/relationships/hyperlink" Target="docs/backlog-deep-audit-2026-09-07.json" TargetMode="External" Id="rId245" /><Relationship Type="http://schemas.openxmlformats.org/officeDocument/2006/relationships/hyperlink" Target="docs/backlog-code-handoff-2026-09-08.json" TargetMode="External" Id="rId246" /><Relationship Type="http://schemas.openxmlformats.org/officeDocument/2006/relationships/hyperlink" Target="docs/backlog-partial-progress-2026-09-08.json" TargetMode="External" Id="rId247" /><Relationship Type="http://schemas.openxmlformats.org/officeDocument/2006/relationships/hyperlink" Target="docs/backlog-code-handoff-2026-09-08.json" TargetMode="External" Id="rId248" /><Relationship Type="http://schemas.openxmlformats.org/officeDocument/2006/relationships/hyperlink" Target="docs/backlog-deep-audit-2026-09-07.json" TargetMode="External" Id="rId249" /><Relationship Type="http://schemas.openxmlformats.org/officeDocument/2006/relationships/hyperlink" Target="docs/backlog-code-handoff-2026-09-08.json" TargetMode="External" Id="rId250" /><Relationship Type="http://schemas.openxmlformats.org/officeDocument/2006/relationships/hyperlink" Target="docs/backlog-deep-audit-2026-09-07.json" TargetMode="External" Id="rId251" /><Relationship Type="http://schemas.openxmlformats.org/officeDocument/2006/relationships/hyperlink" Target="docs/backlog-code-handoff-2026-09-08.json" TargetMode="External" Id="rId252" /><Relationship Type="http://schemas.openxmlformats.org/officeDocument/2006/relationships/hyperlink" Target="docs/backlog-deep-audit-2026-09-07.json" TargetMode="External" Id="rId253" /><Relationship Type="http://schemas.openxmlformats.org/officeDocument/2006/relationships/hyperlink" Target="docs/backlog-code-handoff-2026-09-08.json" TargetMode="External" Id="rId254" /><Relationship Type="http://schemas.openxmlformats.org/officeDocument/2006/relationships/hyperlink" Target="docs/backlog-deep-audit-2026-09-07.json" TargetMode="External" Id="rId255" /><Relationship Type="http://schemas.openxmlformats.org/officeDocument/2006/relationships/hyperlink" Target="docs/backlog-code-handoff-2026-09-08.json" TargetMode="External" Id="rId256" /><Relationship Type="http://schemas.openxmlformats.org/officeDocument/2006/relationships/hyperlink" Target="docs/backlog-deep-audit-2026-09-07.json" TargetMode="External" Id="rId257" /><Relationship Type="http://schemas.openxmlformats.org/officeDocument/2006/relationships/hyperlink" Target="docs/backlog-code-handoff-2026-09-08.json" TargetMode="External" Id="rId258" /><Relationship Type="http://schemas.openxmlformats.org/officeDocument/2006/relationships/hyperlink" Target="docs/backlog-deep-audit-2026-09-07.json" TargetMode="External" Id="rId259" /><Relationship Type="http://schemas.openxmlformats.org/officeDocument/2006/relationships/hyperlink" Target="docs/backlog-code-handoff-2026-09-08.json" TargetMode="External" Id="rId260" /><Relationship Type="http://schemas.openxmlformats.org/officeDocument/2006/relationships/hyperlink" Target="docs/backlog-deep-audit-2026-09-07.json" TargetMode="External" Id="rId261" /><Relationship Type="http://schemas.openxmlformats.org/officeDocument/2006/relationships/hyperlink" Target="docs/backlog-code-handoff-2026-09-08.json" TargetMode="External" Id="rId262" /><Relationship Type="http://schemas.openxmlformats.org/officeDocument/2006/relationships/hyperlink" Target="docs/backlog-partial-progress-2026-09-08.json" TargetMode="External" Id="rId263" /><Relationship Type="http://schemas.openxmlformats.org/officeDocument/2006/relationships/hyperlink" Target="docs/backlog-code-handoff-2026-09-08.json" TargetMode="External" Id="rId264" /><Relationship Type="http://schemas.openxmlformats.org/officeDocument/2006/relationships/hyperlink" Target="docs/backlog-deep-audit-2026-09-07.json" TargetMode="External" Id="rId265" /><Relationship Type="http://schemas.openxmlformats.org/officeDocument/2006/relationships/hyperlink" Target="docs/backlog-code-handoff-2026-09-08.json" TargetMode="External" Id="rId266" /><Relationship Type="http://schemas.openxmlformats.org/officeDocument/2006/relationships/hyperlink" Target="docs/backlog-deep-audit-2026-09-07.json" TargetMode="External" Id="rId267" /><Relationship Type="http://schemas.openxmlformats.org/officeDocument/2006/relationships/hyperlink" Target="docs/backlog-code-handoff-2026-09-08.json" TargetMode="External" Id="rId268" /><Relationship Type="http://schemas.openxmlformats.org/officeDocument/2006/relationships/hyperlink" Target="docs/backlog-deep-audit-2026-09-07.json" TargetMode="External" Id="rId269" /><Relationship Type="http://schemas.openxmlformats.org/officeDocument/2006/relationships/hyperlink" Target="docs/backlog-code-handoff-2026-09-08.json" TargetMode="External" Id="rId270" /><Relationship Type="http://schemas.openxmlformats.org/officeDocument/2006/relationships/hyperlink" Target="docs/backlog-deep-audit-2026-09-07.json" TargetMode="External" Id="rId271" /><Relationship Type="http://schemas.openxmlformats.org/officeDocument/2006/relationships/hyperlink" Target="docs/backlog-code-handoff-2026-09-08.json" TargetMode="External" Id="rId272" /><Relationship Type="http://schemas.openxmlformats.org/officeDocument/2006/relationships/hyperlink" Target="docs/backlog-deep-audit-2026-09-07.json" TargetMode="External" Id="rId273" /><Relationship Type="http://schemas.openxmlformats.org/officeDocument/2006/relationships/hyperlink" Target="docs/backlog-code-handoff-2026-09-08.json" TargetMode="External" Id="rId274" /><Relationship Type="http://schemas.openxmlformats.org/officeDocument/2006/relationships/hyperlink" Target="docs/backlog-deep-audit-2026-09-07.json" TargetMode="External" Id="rId275" /><Relationship Type="http://schemas.openxmlformats.org/officeDocument/2006/relationships/hyperlink" Target="docs/backlog-code-handoff-2026-09-08.json" TargetMode="External" Id="rId276" /><Relationship Type="http://schemas.openxmlformats.org/officeDocument/2006/relationships/hyperlink" Target="docs/backlog-deep-audit-2026-09-07.json" TargetMode="External" Id="rId277" /><Relationship Type="http://schemas.openxmlformats.org/officeDocument/2006/relationships/hyperlink" Target="docs/backlog-code-handoff-2026-09-08.json" TargetMode="External" Id="rId278" /><Relationship Type="http://schemas.openxmlformats.org/officeDocument/2006/relationships/hyperlink" Target="docs/backlog-deep-audit-2026-09-07.json" TargetMode="External" Id="rId279" /><Relationship Type="http://schemas.openxmlformats.org/officeDocument/2006/relationships/hyperlink" Target="docs/backlog-code-handoff-2026-09-08.json" TargetMode="External" Id="rId280" /><Relationship Type="http://schemas.openxmlformats.org/officeDocument/2006/relationships/hyperlink" Target="docs/backlog-partial-progress-2026-09-08.json" TargetMode="External" Id="rId281" /><Relationship Type="http://schemas.openxmlformats.org/officeDocument/2006/relationships/hyperlink" Target="docs/backlog-code-handoff-2026-09-08.json" TargetMode="External" Id="rId282" /><Relationship Type="http://schemas.openxmlformats.org/officeDocument/2006/relationships/hyperlink" Target="docs/backlog-deep-audit-2026-09-07.json" TargetMode="External" Id="rId283" /><Relationship Type="http://schemas.openxmlformats.org/officeDocument/2006/relationships/hyperlink" Target="docs/backlog-code-handoff-2026-09-08.json" TargetMode="External" Id="rId284" /><Relationship Type="http://schemas.openxmlformats.org/officeDocument/2006/relationships/hyperlink" Target="docs/backlog-partial-progress-2026-09-08.json" TargetMode="External" Id="rId285" /><Relationship Type="http://schemas.openxmlformats.org/officeDocument/2006/relationships/hyperlink" Target="docs/backlog-code-handoff-2026-09-08.json" TargetMode="External" Id="rId286" /><Relationship Type="http://schemas.openxmlformats.org/officeDocument/2006/relationships/hyperlink" Target="docs/backlog-deep-audit-2026-09-07.json" TargetMode="External" Id="rId287" /><Relationship Type="http://schemas.openxmlformats.org/officeDocument/2006/relationships/hyperlink" Target="docs/backlog-code-handoff-2026-09-08.json" TargetMode="External" Id="rId288" /><Relationship Type="http://schemas.openxmlformats.org/officeDocument/2006/relationships/hyperlink" Target="docs/backlog-deep-audit-2026-09-07.json" TargetMode="External" Id="rId289" /><Relationship Type="http://schemas.openxmlformats.org/officeDocument/2006/relationships/hyperlink" Target="docs/backlog-code-handoff-2026-09-08.json" TargetMode="External" Id="rId290" /><Relationship Type="http://schemas.openxmlformats.org/officeDocument/2006/relationships/hyperlink" Target="docs/backlog-deep-audit-2026-09-07.json" TargetMode="External" Id="rId291" /><Relationship Type="http://schemas.openxmlformats.org/officeDocument/2006/relationships/hyperlink" Target="docs/backlog-code-handoff-2026-09-08.json" TargetMode="External" Id="rId292" /><Relationship Type="http://schemas.openxmlformats.org/officeDocument/2006/relationships/hyperlink" Target="docs/backlog-deep-audit-2026-09-07.json" TargetMode="External" Id="rId293" /><Relationship Type="http://schemas.openxmlformats.org/officeDocument/2006/relationships/hyperlink" Target="docs/backlog-code-handoff-2026-09-08.json" TargetMode="External" Id="rId294" /><Relationship Type="http://schemas.openxmlformats.org/officeDocument/2006/relationships/hyperlink" Target="docs/backlog-deep-audit-2026-09-07.json" TargetMode="External" Id="rId295" /><Relationship Type="http://schemas.openxmlformats.org/officeDocument/2006/relationships/hyperlink" Target="docs/backlog-code-handoff-2026-09-08.json" TargetMode="External" Id="rId296" /><Relationship Type="http://schemas.openxmlformats.org/officeDocument/2006/relationships/hyperlink" Target="docs/backlog-deep-audit-2026-09-07.json" TargetMode="External" Id="rId297" /><Relationship Type="http://schemas.openxmlformats.org/officeDocument/2006/relationships/hyperlink" Target="docs/backlog-code-handoff-2026-09-08.json" TargetMode="External" Id="rId298" /><Relationship Type="http://schemas.openxmlformats.org/officeDocument/2006/relationships/hyperlink" Target="docs/backlog-deep-audit-2026-09-07.json" TargetMode="External" Id="rId299" /><Relationship Type="http://schemas.openxmlformats.org/officeDocument/2006/relationships/hyperlink" Target="docs/backlog-code-handoff-2026-09-08.json" TargetMode="External" Id="rId300" /><Relationship Type="http://schemas.openxmlformats.org/officeDocument/2006/relationships/hyperlink" Target="docs/backlog-partial-progress-2026-09-08.json" TargetMode="External" Id="rId301" /><Relationship Type="http://schemas.openxmlformats.org/officeDocument/2006/relationships/hyperlink" Target="docs/backlog-code-handoff-2026-09-08.json" TargetMode="External" Id="rId302" /><Relationship Type="http://schemas.openxmlformats.org/officeDocument/2006/relationships/hyperlink" Target="docs/backlog-deep-audit-2026-09-07.json" TargetMode="External" Id="rId303" /><Relationship Type="http://schemas.openxmlformats.org/officeDocument/2006/relationships/hyperlink" Target="docs/backlog-code-handoff-2026-09-08.json" TargetMode="External" Id="rId304" /><Relationship Type="http://schemas.openxmlformats.org/officeDocument/2006/relationships/hyperlink" Target="docs/backlog-deep-audit-2026-09-07.json" TargetMode="External" Id="rId305" /><Relationship Type="http://schemas.openxmlformats.org/officeDocument/2006/relationships/hyperlink" Target="docs/backlog-code-handoff-2026-09-08.json" TargetMode="External" Id="rId306" /><Relationship Type="http://schemas.openxmlformats.org/officeDocument/2006/relationships/hyperlink" Target="docs/backlog-deep-audit-2026-09-07.json" TargetMode="External" Id="rId307" /><Relationship Type="http://schemas.openxmlformats.org/officeDocument/2006/relationships/hyperlink" Target="docs/backlog-code-handoff-2026-09-08.json" TargetMode="External" Id="rId308" /><Relationship Type="http://schemas.openxmlformats.org/officeDocument/2006/relationships/hyperlink" Target="docs/backlog-deep-audit-2026-09-07.json" TargetMode="External" Id="rId309" /><Relationship Type="http://schemas.openxmlformats.org/officeDocument/2006/relationships/hyperlink" Target="docs/backlog-code-handoff-2026-09-08.json" TargetMode="External" Id="rId310" /><Relationship Type="http://schemas.openxmlformats.org/officeDocument/2006/relationships/hyperlink" Target="docs/backlog-partial-progress-2026-09-08.json" TargetMode="External" Id="rId311" /><Relationship Type="http://schemas.openxmlformats.org/officeDocument/2006/relationships/hyperlink" Target="docs/backlog-code-handoff-2026-09-08.json" TargetMode="External" Id="rId312" /><Relationship Type="http://schemas.openxmlformats.org/officeDocument/2006/relationships/hyperlink" Target="docs/backlog-deep-audit-2026-09-07.json" TargetMode="External" Id="rId313" /><Relationship Type="http://schemas.openxmlformats.org/officeDocument/2006/relationships/hyperlink" Target="docs/backlog-code-handoff-2026-09-08.json" TargetMode="External" Id="rId314" /><Relationship Type="http://schemas.openxmlformats.org/officeDocument/2006/relationships/hyperlink" Target="docs/backlog-deep-audit-2026-09-07.json" TargetMode="External" Id="rId315" /><Relationship Type="http://schemas.openxmlformats.org/officeDocument/2006/relationships/hyperlink" Target="docs/backlog-code-handoff-2026-09-08.json" TargetMode="External" Id="rId316" /><Relationship Type="http://schemas.openxmlformats.org/officeDocument/2006/relationships/hyperlink" Target="docs/backlog-partial-progress-2026-09-08.json" TargetMode="External" Id="rId317" /><Relationship Type="http://schemas.openxmlformats.org/officeDocument/2006/relationships/hyperlink" Target="docs/backlog-code-handoff-2026-09-08.json" TargetMode="External" Id="rId318" /><Relationship Type="http://schemas.openxmlformats.org/officeDocument/2006/relationships/hyperlink" Target="docs/backlog-partial-progress-2026-09-08.json" TargetMode="External" Id="rId319" /><Relationship Type="http://schemas.openxmlformats.org/officeDocument/2006/relationships/hyperlink" Target="docs/backlog-code-handoff-2026-09-08.json" TargetMode="External" Id="rId320" /><Relationship Type="http://schemas.openxmlformats.org/officeDocument/2006/relationships/hyperlink" Target="docs/backlog-partial-progress-2026-09-08.json" TargetMode="External" Id="rId321" /><Relationship Type="http://schemas.openxmlformats.org/officeDocument/2006/relationships/hyperlink" Target="docs/backlog-code-handoff-2026-09-08.json" TargetMode="External" Id="rId322" /><Relationship Type="http://schemas.openxmlformats.org/officeDocument/2006/relationships/hyperlink" Target="docs/backlog-deep-audit-2026-09-07.json" TargetMode="External" Id="rId323" /><Relationship Type="http://schemas.openxmlformats.org/officeDocument/2006/relationships/hyperlink" Target="docs/backlog-code-handoff-2026-09-08.json" TargetMode="External" Id="rId324" /><Relationship Type="http://schemas.openxmlformats.org/officeDocument/2006/relationships/hyperlink" Target="docs/backlog-deep-audit-2026-09-07.json" TargetMode="External" Id="rId325" /><Relationship Type="http://schemas.openxmlformats.org/officeDocument/2006/relationships/hyperlink" Target="docs/backlog-code-handoff-2026-09-08.json" TargetMode="External" Id="rId326" /><Relationship Type="http://schemas.openxmlformats.org/officeDocument/2006/relationships/hyperlink" Target="docs/backlog-deep-audit-2026-09-07.json" TargetMode="External" Id="rId327" /><Relationship Type="http://schemas.openxmlformats.org/officeDocument/2006/relationships/hyperlink" Target="docs/backlog-code-handoff-2026-09-08.json" TargetMode="External" Id="rId328" /><Relationship Type="http://schemas.openxmlformats.org/officeDocument/2006/relationships/hyperlink" Target="docs/backlog-partial-progress-2026-09-08.json" TargetMode="External" Id="rId329" /><Relationship Type="http://schemas.openxmlformats.org/officeDocument/2006/relationships/hyperlink" Target="docs/backlog-code-handoff-2026-09-08.json" TargetMode="External" Id="rId330" /><Relationship Type="http://schemas.openxmlformats.org/officeDocument/2006/relationships/hyperlink" Target="docs/backlog-deep-audit-2026-09-07.json" TargetMode="External" Id="rId331" /><Relationship Type="http://schemas.openxmlformats.org/officeDocument/2006/relationships/hyperlink" Target="docs/backlog-code-handoff-2026-09-08.json" TargetMode="External" Id="rId332" /><Relationship Type="http://schemas.openxmlformats.org/officeDocument/2006/relationships/hyperlink" Target="docs/backlog-deep-audit-2026-09-07.json" TargetMode="External" Id="rId333" /><Relationship Type="http://schemas.openxmlformats.org/officeDocument/2006/relationships/hyperlink" Target="docs/backlog-code-handoff-2026-09-08.json" TargetMode="External" Id="rId334" /><Relationship Type="http://schemas.openxmlformats.org/officeDocument/2006/relationships/hyperlink" Target="docs/backlog-deep-audit-2026-09-07.json" TargetMode="External" Id="rId335" /><Relationship Type="http://schemas.openxmlformats.org/officeDocument/2006/relationships/hyperlink" Target="docs/backlog-code-handoff-2026-09-08.json" TargetMode="External" Id="rId336" /><Relationship Type="http://schemas.openxmlformats.org/officeDocument/2006/relationships/hyperlink" Target="docs/backlog-deep-audit-2026-09-07.json" TargetMode="External" Id="rId337" /><Relationship Type="http://schemas.openxmlformats.org/officeDocument/2006/relationships/hyperlink" Target="docs/backlog-code-handoff-2026-09-08.json" TargetMode="External" Id="rId338" /><Relationship Type="http://schemas.openxmlformats.org/officeDocument/2006/relationships/hyperlink" Target="docs/backlog-deep-audit-2026-09-07.json" TargetMode="External" Id="rId339" /><Relationship Type="http://schemas.openxmlformats.org/officeDocument/2006/relationships/hyperlink" Target="docs/backlog-code-handoff-2026-09-08.json" TargetMode="External" Id="rId340" /><Relationship Type="http://schemas.openxmlformats.org/officeDocument/2006/relationships/hyperlink" Target="docs/backlog-deep-audit-2026-09-07.json" TargetMode="External" Id="rId341" /><Relationship Type="http://schemas.openxmlformats.org/officeDocument/2006/relationships/hyperlink" Target="docs/backlog-code-handoff-2026-09-08.json" TargetMode="External" Id="rId342" /><Relationship Type="http://schemas.openxmlformats.org/officeDocument/2006/relationships/hyperlink" Target="docs/backlog-deep-audit-2026-09-07.json" TargetMode="External" Id="rId343" /><Relationship Type="http://schemas.openxmlformats.org/officeDocument/2006/relationships/hyperlink" Target="docs/backlog-code-handoff-2026-09-08.json" TargetMode="External" Id="rId344" /><Relationship Type="http://schemas.openxmlformats.org/officeDocument/2006/relationships/hyperlink" Target="docs/backlog-deep-audit-2026-09-07.json" TargetMode="External" Id="rId345" /><Relationship Type="http://schemas.openxmlformats.org/officeDocument/2006/relationships/hyperlink" Target="docs/backlog-code-handoff-2026-09-08.json" TargetMode="External" Id="rId346" /><Relationship Type="http://schemas.openxmlformats.org/officeDocument/2006/relationships/hyperlink" Target="docs/backlog-deep-audit-2026-09-07.json" TargetMode="External" Id="rId347" /><Relationship Type="http://schemas.openxmlformats.org/officeDocument/2006/relationships/hyperlink" Target="docs/backlog-code-handoff-2026-09-08.json" TargetMode="External" Id="rId348" /><Relationship Type="http://schemas.openxmlformats.org/officeDocument/2006/relationships/hyperlink" Target="docs/backlog-deep-audit-2026-09-07.json" TargetMode="External" Id="rId349" /><Relationship Type="http://schemas.openxmlformats.org/officeDocument/2006/relationships/hyperlink" Target="docs/backlog-code-handoff-2026-09-08.json" TargetMode="External" Id="rId350" /><Relationship Type="http://schemas.openxmlformats.org/officeDocument/2006/relationships/hyperlink" Target="docs/backlog-deep-audit-2026-09-07.json" TargetMode="External" Id="rId351" /><Relationship Type="http://schemas.openxmlformats.org/officeDocument/2006/relationships/hyperlink" Target="docs/backlog-code-handoff-2026-09-08.json" TargetMode="External" Id="rId352" /><Relationship Type="http://schemas.openxmlformats.org/officeDocument/2006/relationships/hyperlink" Target="docs/backlog-deep-audit-2026-09-07.json" TargetMode="External" Id="rId353" /><Relationship Type="http://schemas.openxmlformats.org/officeDocument/2006/relationships/hyperlink" Target="docs/backlog-code-handoff-2026-09-08.json" TargetMode="External" Id="rId354" /><Relationship Type="http://schemas.openxmlformats.org/officeDocument/2006/relationships/hyperlink" Target="docs/backlog-deep-audit-2026-09-07.json" TargetMode="External" Id="rId355" /><Relationship Type="http://schemas.openxmlformats.org/officeDocument/2006/relationships/hyperlink" Target="docs/backlog-code-handoff-2026-09-08.json" TargetMode="External" Id="rId356" /><Relationship Type="http://schemas.openxmlformats.org/officeDocument/2006/relationships/hyperlink" Target="docs/backlog-deep-audit-2026-09-07.json" TargetMode="External" Id="rId357" /><Relationship Type="http://schemas.openxmlformats.org/officeDocument/2006/relationships/hyperlink" Target="docs/backlog-code-handoff-2026-09-08.json" TargetMode="External" Id="rId358" /><Relationship Type="http://schemas.openxmlformats.org/officeDocument/2006/relationships/hyperlink" Target="docs/backlog-deep-audit-2026-09-07.json" TargetMode="External" Id="rId359" /><Relationship Type="http://schemas.openxmlformats.org/officeDocument/2006/relationships/hyperlink" Target="docs/backlog-code-handoff-2026-09-08.json" TargetMode="External" Id="rId360" /><Relationship Type="http://schemas.openxmlformats.org/officeDocument/2006/relationships/hyperlink" Target="docs/backlog-deep-audit-2026-09-07.json" TargetMode="External" Id="rId361" /><Relationship Type="http://schemas.openxmlformats.org/officeDocument/2006/relationships/hyperlink" Target="docs/backlog-code-handoff-2026-09-08.json" TargetMode="External" Id="rId362" /><Relationship Type="http://schemas.openxmlformats.org/officeDocument/2006/relationships/hyperlink" Target="docs/backlog-deep-audit-2026-09-07.json" TargetMode="External" Id="rId363" /><Relationship Type="http://schemas.openxmlformats.org/officeDocument/2006/relationships/hyperlink" Target="docs/backlog-code-handoff-2026-09-08.json" TargetMode="External" Id="rId364" /><Relationship Type="http://schemas.openxmlformats.org/officeDocument/2006/relationships/hyperlink" Target="docs/backlog-deep-audit-2026-09-07.json" TargetMode="External" Id="rId365" /><Relationship Type="http://schemas.openxmlformats.org/officeDocument/2006/relationships/hyperlink" Target="docs/backlog-code-handoff-2026-09-08.json" TargetMode="External" Id="rId366" /><Relationship Type="http://schemas.openxmlformats.org/officeDocument/2006/relationships/hyperlink" Target="docs/backlog-deep-audit-2026-09-07.json" TargetMode="External" Id="rId367" /><Relationship Type="http://schemas.openxmlformats.org/officeDocument/2006/relationships/hyperlink" Target="docs/backlog-code-handoff-2026-09-08.json" TargetMode="External" Id="rId368" /><Relationship Type="http://schemas.openxmlformats.org/officeDocument/2006/relationships/hyperlink" Target="docs/backlog-deep-audit-2026-09-07.json" TargetMode="External" Id="rId369" /><Relationship Type="http://schemas.openxmlformats.org/officeDocument/2006/relationships/hyperlink" Target="docs/backlog-code-handoff-2026-09-08.json" TargetMode="External" Id="rId370"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docs/backlog-audit-2026-09-07.json" TargetMode="External" Id="rId1" /><Relationship Type="http://schemas.openxmlformats.org/officeDocument/2006/relationships/hyperlink" Target="docs/backlog-audit-2026-09-07.json" TargetMode="External" Id="rId2" /><Relationship Type="http://schemas.openxmlformats.org/officeDocument/2006/relationships/hyperlink" Target="docs/backlog-audit-2026-09-07.json" TargetMode="External" Id="rId3" /><Relationship Type="http://schemas.openxmlformats.org/officeDocument/2006/relationships/hyperlink" Target="docs/backlog-audit-2026-09-07.json" TargetMode="External" Id="rId4" /><Relationship Type="http://schemas.openxmlformats.org/officeDocument/2006/relationships/hyperlink" Target="docs/backlog-audit-2026-09-07.json" TargetMode="External" Id="rId5" /><Relationship Type="http://schemas.openxmlformats.org/officeDocument/2006/relationships/hyperlink" Target="docs/backlog-audit-2026-09-07.json" TargetMode="External" Id="rId6" /><Relationship Type="http://schemas.openxmlformats.org/officeDocument/2006/relationships/hyperlink" Target="docs/backlog-audit-2026-09-07.json" TargetMode="External" Id="rId7" /><Relationship Type="http://schemas.openxmlformats.org/officeDocument/2006/relationships/hyperlink" Target="docs/backlog-audit-2026-09-07.json" TargetMode="External" Id="rId8" /><Relationship Type="http://schemas.openxmlformats.org/officeDocument/2006/relationships/hyperlink" Target="docs/backlog-audit-2026-09-07.json" TargetMode="External" Id="rId9" /><Relationship Type="http://schemas.openxmlformats.org/officeDocument/2006/relationships/hyperlink" Target="docs/backlog-audit-2026-09-07.json" TargetMode="External" Id="rId10" /><Relationship Type="http://schemas.openxmlformats.org/officeDocument/2006/relationships/hyperlink" Target="docs/backlog-audit-2026-09-07.json" TargetMode="External" Id="rId11" /><Relationship Type="http://schemas.openxmlformats.org/officeDocument/2006/relationships/hyperlink" Target="docs/backlog-audit-2026-09-07.json" TargetMode="External" Id="rId12" /><Relationship Type="http://schemas.openxmlformats.org/officeDocument/2006/relationships/hyperlink" Target="docs/backlog-audit-2026-09-07.json" TargetMode="External" Id="rId13" /><Relationship Type="http://schemas.openxmlformats.org/officeDocument/2006/relationships/hyperlink" Target="docs/backlog-audit-2026-09-07.json" TargetMode="External" Id="rId14" /><Relationship Type="http://schemas.openxmlformats.org/officeDocument/2006/relationships/hyperlink" Target="docs/backlog-audit-2026-09-07.json" TargetMode="External" Id="rId15" /><Relationship Type="http://schemas.openxmlformats.org/officeDocument/2006/relationships/hyperlink" Target="docs/backlog-audit-2026-09-07.json" TargetMode="External" Id="rId16" /><Relationship Type="http://schemas.openxmlformats.org/officeDocument/2006/relationships/hyperlink" Target="docs/backlog-audit-2026-09-07.json" TargetMode="External" Id="rId17" /><Relationship Type="http://schemas.openxmlformats.org/officeDocument/2006/relationships/hyperlink" Target="docs/backlog-audit-2026-09-07.json" TargetMode="External" Id="rId18" /><Relationship Type="http://schemas.openxmlformats.org/officeDocument/2006/relationships/hyperlink" Target="docs/backlog-audit-2026-09-07.json" TargetMode="External" Id="rId19" /></Relationships>
</file>

<file path=xl/worksheets/_rels/sheet9.xml.rels><Relationships xmlns="http://schemas.openxmlformats.org/package/2006/relationships"><Relationship Type="http://schemas.openxmlformats.org/officeDocument/2006/relationships/hyperlink" Target="https://nuxt.com/docs/4.x/guide/" TargetMode="External" Id="rId1" /><Relationship Type="http://schemas.openxmlformats.org/officeDocument/2006/relationships/hyperlink" Target="https://nuxt.com/blog/v4-5-security" TargetMode="External" Id="rId2" /><Relationship Type="http://schemas.openxmlformats.org/officeDocument/2006/relationships/hyperlink" Target="https://fastapi.tiangolo.com/deployment/docker/" TargetMode="External" Id="rId3" /><Relationship Type="http://schemas.openxmlformats.org/officeDocument/2006/relationships/hyperlink" Target="https://docs.python.org/3/" TargetMode="External" Id="rId4" /><Relationship Type="http://schemas.openxmlformats.org/officeDocument/2006/relationships/hyperlink" Target="https://supabase.com/docs/guides/deployment/going-into-prod" TargetMode="External" Id="rId5" /><Relationship Type="http://schemas.openxmlformats.org/officeDocument/2006/relationships/hyperlink" Target="https://supabase.com/docs/guides/queues" TargetMode="External" Id="rId6" /><Relationship Type="http://schemas.openxmlformats.org/officeDocument/2006/relationships/hyperlink" Target="https://www.postman.com/meta/instagram/documentation/6yqw8pt/instagram-api" TargetMode="External" Id="rId7" /><Relationship Type="http://schemas.openxmlformats.org/officeDocument/2006/relationships/hyperlink" Target="https://www.postman.com/meta/instagram/documentation/6yqw8pt/instagram-api" TargetMode="External" Id="rId8" /><Relationship Type="http://schemas.openxmlformats.org/officeDocument/2006/relationships/hyperlink" Target="https://developers.openai.com/api/reference/" TargetMode="External" Id="rId9" /><Relationship Type="http://schemas.openxmlformats.org/officeDocument/2006/relationships/hyperlink" Target="https://developers.openai.com/api/docs/models/gpt-image-2" TargetMode="External" Id="rId10" /><Relationship Type="http://schemas.openxmlformats.org/officeDocument/2006/relationships/hyperlink" Target="https://owasp.org/www-project-application-security-verification-standard/" TargetMode="External" Id="rId11" /><Relationship Type="http://schemas.openxmlformats.org/officeDocument/2006/relationships/hyperlink" Target="https://owasp.org/API-Security/" TargetMode="External" Id="rId12" /><Relationship Type="http://schemas.openxmlformats.org/officeDocument/2006/relationships/hyperlink" Target="https://www.rfc-editor.org/rfc/rfc9457" TargetMode="External" Id="rId13" /><Relationship Type="http://schemas.openxmlformats.org/officeDocument/2006/relationships/hyperlink" Target="https://opentelemetry.io/docs/" TargetMode="External" Id="rId14" /></Relationships>
</file>

<file path=xl/worksheets/sheet1.xml><?xml version="1.0" encoding="utf-8"?>
<s:worksheet xmlns:r="http://schemas.openxmlformats.org/officeDocument/2006/relationships" xmlns:s="http://schemas.openxmlformats.org/spreadsheetml/2006/main">
  <s:sheetPr>
    <s:tabColor rgb="FF111827"/>
    <s:outlinePr summaryBelow="1" summaryRight="1"/>
    <s:pageSetUpPr fitToPage="1"/>
  </s:sheetPr>
  <s:dimension ref="A1:H48"/>
  <s:sheetViews>
    <s:sheetView showGridLines="0" zoomScale="90" workbookViewId="0">
      <s:pane ySplit="13" topLeftCell="A14" activePane="bottomLeft" state="frozen"/>
      <s:selection pane="bottomLeft" activeCell="A1" sqref="A1"/>
    </s:sheetView>
  </s:sheetViews>
  <s:sheetFormatPr baseColWidth="8" defaultRowHeight="15"/>
  <s:cols>
    <s:col width="32" customWidth="1" style="48" min="1" max="1"/>
    <s:col width="22" customWidth="1" style="48" min="2" max="3"/>
    <s:col width="18" customWidth="1" style="48" min="4" max="4"/>
    <s:col width="14" customWidth="1" style="48" min="5" max="8"/>
  </s:cols>
  <s:sheetData>
    <s:row r="1" ht="33.95" customHeight="1" s="48">
      <s:c r="A1" s="40" t="inlineStr">
        <s:is>
          <s:t>AI Marketing Platform - Production Engineering Execution Workbook</s:t>
        </s:is>
      </s:c>
    </s:row>
    <s:row r="2"/>
    <s:row r="3">
      <s:c r="A3" s="1" t="inlineStr">
        <s:is>
          <s:t>Purpose</s:t>
        </s:is>
      </s:c>
      <s:c r="B3" s="41" t="inlineStr">
        <s:is>
          <s:t>Executable production master backlog and control workbook for two engineers. S0-S8 deliver Production GA; S9-S10 are post-GA growth expansion.</s:t>
        </s:is>
      </s:c>
    </s:row>
    <s:row r="4"/>
    <s:row r="5">
      <s:c r="A5" s="1" t="inlineStr">
        <s:is>
          <s:t>Architecture</s:t>
        </s:is>
      </s:c>
      <s:c r="B5" s="41" t="inlineStr">
        <s:is>
          <s:t>Modular Monolith + Durable Workers + Ports/Adapters + tenant-safe RLS</s:t>
        </s:is>
      </s:c>
    </s:row>
    <s:row r="6">
      <s:c r="A6" s="1" t="inlineStr">
        <s:is>
          <s:t>Primary stack</s:t>
        </s:is>
      </s:c>
      <s:c r="B6" s="41" t="inlineStr">
        <s:is>
          <s:t>Nuxt 4.5.x + Nuxt UI v4 + Motion for Vue + Node.js 24 LTS + FastAPI/Python 3.14 + Supabase Auth/Postgres/Storage/Queues + OpenAI + Meta APIs</s:t>
        </s:is>
      </s:c>
    </s:row>
    <s:row r="7">
      <s:c r="A7" s="1" t="inlineStr">
        <s:is>
          <s:t>Security baseline</s:t>
        </s:is>
      </s:c>
      <s:c r="B7" s="41" t="inlineStr">
        <s:is>
          <s:t>OWASP ASVS 5.0 L2-oriented + OWASP API Security Top 10 + tenant isolation tests</s:t>
        </s:is>
      </s:c>
    </s:row>
    <s:row r="8">
      <s:c r="A8" s="1" t="inlineStr">
        <s:is>
          <s:t>Planning policy</s:t>
        </s:is>
      </s:c>
      <s:c r="B8" s="41" t="inlineStr">
        <s:is>
          <s:t>S0-S5 core delivery; S6 Marketing OS; S7 feature completeness; S8 GA hardening/launch; S9-S10 growth formats/automation. Release gates, not dates, define readiness.</s:t>
        </s:is>
      </s:c>
    </s:row>
    <s:row r="9">
      <s:c r="A9" s="1" t="inlineStr">
        <s:is>
          <s:t>Estimate semantics</s:t>
        </s:is>
      </s:c>
      <s:c r="B9" s="41" t="inlineStr">
        <s:is>
          <s:t>Task hours include implementation + owner tests. Peer-review, planning, support and unplanned debugging are expected to consume remaining sprint capacity.</s:t>
        </s:is>
      </s:c>
    </s:row>
    <s:row r="10"/>
    <s:row r="11"/>
    <s:row r="12" ht="23.1" customHeight="1" s="48">
      <s:c r="A12" s="43" t="inlineStr">
        <s:is>
          <s:t>Planning Controls - blue cells are user-changeable inputs</s:t>
        </s:is>
      </s:c>
    </s:row>
    <s:row r="13"/>
    <s:row r="14">
      <s:c r="A14" s="1" t="inlineStr">
        <s:is>
          <s:t>Kickoff date</s:t>
        </s:is>
      </s:c>
      <s:c r="B14" s="2" t="n">
        <s:v>46272</s:v>
      </s:c>
      <s:c r="C14" s="41" t="inlineStr">
        <s:is>
          <s:t>Change this to rebase all sprint dates.</s:t>
        </s:is>
      </s:c>
    </s:row>
    <s:row r="15">
      <s:c r="A15" s="1" t="inlineStr">
        <s:is>
          <s:t>Sprint length (calendar days)</s:t>
        </s:is>
      </s:c>
      <s:c r="B15" s="3" t="n">
        <s:v>14</s:v>
      </s:c>
      <s:c r="C15" s="41" t="inlineStr">
        <s:is>
          <s:t>2-week sprint.</s:t>
        </s:is>
      </s:c>
    </s:row>
    <s:row r="16">
      <s:c r="A16" s="1" t="inlineStr">
        <s:is>
          <s:t>Capacity / programmer / sprint (h)</s:t>
        </s:is>
      </s:c>
      <s:c r="B16" s="3" t="n">
        <s:v>80</s:v>
      </s:c>
      <s:c r="C16" s="41" t="inlineStr">
        <s:is>
          <s:t>Nominal 10 workdays x 8h; reserve is shown separately.</s:t>
        </s:is>
      </s:c>
    </s:row>
    <s:row r="17">
      <s:c r="A17" s="1" t="inlineStr">
        <s:is>
          <s:t>Target planned utilization</s:t>
        </s:is>
      </s:c>
      <s:c r="B17" s="4" t="n">
        <s:v>0.85</s:v>
      </s:c>
      <s:c r="C17" s="41" t="inlineStr">
        <s:is>
          <s:t>Guideline, not a hard formula. Early integration sprints may be denser.</s:t>
        </s:is>
      </s:c>
    </s:row>
    <s:row r="18">
      <s:c r="A18" s="1" t="inlineStr">
        <s:is>
          <s:t>Number of sprints</s:t>
        </s:is>
      </s:c>
      <s:c r="B18" s="3" t="n">
        <s:v>11</s:v>
      </s:c>
      <s:c r="C18" s="41" t="inlineStr">
        <s:is>
          <s:t>S8 is Production GA target; S9-S10 continue growth without changing core launch gates.</s:t>
        </s:is>
      </s:c>
    </s:row>
    <s:row r="19"/>
    <s:row r="20">
      <s:c r="A20" s="1" t="inlineStr">
        <s:is>
          <s:t>Calculated planned release</s:t>
        </s:is>
      </s:c>
      <s:c r="B20" s="5">
        <s:f>$B$14+($B$15*$B$18)-1</s:f>
        <s:v>46425.0</s:v>
      </s:c>
      <s:c r="C20" s="44" t="inlineStr">
        <s:is>
          <s:t>External approvals (especially Meta) can move public launch even when engineering is complete.</s:t>
        </s:is>
      </s:c>
    </s:row>
    <s:row r="21">
      <s:c r="A21" t="inlineStr">
        <s:is>
          <s:t>Production GA target (S8 end)</s:t>
        </s:is>
      </s:c>
      <s:c r="B21">
        <s:f>$B$14+($B$15*9)-1</s:f>
        <s:v>46397</s:v>
      </s:c>
      <s:c r="C21" t="inlineStr">
        <s:is>
          <s:t>Calendar target only; RG gates and Meta approval can still block public launch.</s:t>
        </s:is>
      </s:c>
    </s:row>
    <s:row r="22"/>
    <s:row r="23" ht="23.1" customHeight="1" s="48">
      <s:c r="A23" s="43" t="inlineStr">
        <s:is>
          <s:t>Workbook workflow</s:t>
        </s:is>
      </s:c>
    </s:row>
    <s:row r="24"/>
    <s:row r="25">
      <s:c r="A25" s="6" t="inlineStr">
        <s:is>
          <s:t>1</s:t>
        </s:is>
      </s:c>
      <s:c r="B25" s="41" t="inlineStr">
        <s:is>
          <s:t>Read 00_README + companion DOCX before implementation.</s:t>
        </s:is>
      </s:c>
    </s:row>
    <s:row r="26">
      <s:c r="A26" s="6" t="inlineStr">
        <s:is>
          <s:t>2</s:t>
        </s:is>
      </s:c>
      <s:c r="B26" s="41" t="inlineStr">
        <s:is>
          <s:t>Use 01_ROADMAP for sprint outcomes/capacity; 02_BACKLOG is task source of truth.</s:t>
        </s:is>
      </s:c>
    </s:row>
    <s:row r="27">
      <s:c r="A27" s="6" t="inlineStr">
        <s:is>
          <s:t>3</s:t>
        </s:is>
      </s:c>
      <s:c r="B27" s="41" t="inlineStr">
        <s:is>
          <s:t>Move Status through Not Started -&gt; Ready -&gt; In Progress -&gt; In Review -&gt; Done; use Blocked with note/evidence.</s:t>
        </s:is>
      </s:c>
    </s:row>
    <s:row r="28">
      <s:c r="A28" s="6" t="inlineStr">
        <s:is>
          <s:t>4</s:t>
        </s:is>
      </s:c>
      <s:c r="B28" s="41" t="inlineStr">
        <s:is>
          <s:t>A task is Done only when Acceptance Criteria + Test Evidence + relevant Release Gate requirements are satisfied.</s:t>
        </s:is>
      </s:c>
    </s:row>
    <s:row r="29">
      <s:c r="A29" s="6" t="inlineStr">
        <s:is>
          <s:t>5</s:t>
        </s:is>
      </s:c>
      <s:c r="B29" s="41" t="inlineStr">
        <s:is>
          <s:t>Do not delete postponed work. Mark Deferred and create explicit follow-up/reason.</s:t>
        </s:is>
      </s:c>
    </s:row>
    <s:row r="30">
      <s:c r="A30" s="6" t="inlineStr">
        <s:is>
          <s:t>6</s:t>
        </s:is>
      </s:c>
      <s:c r="B30" s="41" t="inlineStr">
        <s:is>
          <s:t>Architecture/security/provider contract changes require ADR/update, not silent implementation drift.</s:t>
        </s:is>
      </s:c>
    </s:row>
    <s:row r="31"/>
    <s:row r="32"/>
    <s:row r="33" ht="23.1" customHeight="1" s="48">
      <s:c r="A33" s="43" t="inlineStr">
        <s:is>
          <s:t>Color conventions</s:t>
        </s:is>
      </s:c>
    </s:row>
    <s:row r="34"/>
    <s:row r="35">
      <s:c r="A35" s="3" t="inlineStr">
        <s:is>
          <s:t>Blue</s:t>
        </s:is>
      </s:c>
      <s:c r="B35" s="41" t="inlineStr">
        <s:is>
          <s:t>User-changeable inputs</s:t>
        </s:is>
      </s:c>
    </s:row>
    <s:row r="36">
      <s:c r="A36" s="49" t="inlineStr">
        <s:is>
          <s:t>Black</s:t>
        </s:is>
      </s:c>
      <s:c r="B36" s="41" t="inlineStr">
        <s:is>
          <s:t>Formulas / derived values</s:t>
        </s:is>
      </s:c>
    </s:row>
    <s:row r="37">
      <s:c r="A37" s="50" t="inlineStr">
        <s:is>
          <s:t>Green</s:t>
        </s:is>
      </s:c>
      <s:c r="B37" s="41" t="inlineStr">
        <s:is>
          <s:t>Linked/imported sources</s:t>
        </s:is>
      </s:c>
    </s:row>
    <s:row r="38">
      <s:c r="A38" s="7" t="inlineStr">
        <s:is>
          <s:t>Gray</s:t>
        </s:is>
      </s:c>
      <s:c r="B38" s="41" t="inlineStr">
        <s:is>
          <s:t>Static constants / specification text</s:t>
        </s:is>
      </s:c>
    </s:row>
    <s:row r="39">
      <s:c r="A39" s="8" t="inlineStr">
        <s:is>
          <s:t>Orange</s:t>
        </s:is>
      </s:c>
      <s:c r="B39" s="41" t="inlineStr">
        <s:is>
          <s:t>Review / caution / external dependency</s:t>
        </s:is>
      </s:c>
    </s:row>
    <s:row r="40">
      <s:c r="A40" s="51" t="inlineStr">
        <s:is>
          <s:t>Light red</s:t>
        </s:is>
      </s:c>
      <s:c r="B40" s="41" t="inlineStr">
        <s:is>
          <s:t>Error / blocker / high risk</s:t>
        </s:is>
      </s:c>
    </s:row>
    <s:row r="41">
      <s:c r="A41" s="9" t="inlineStr">
        <s:is>
          <s:t>Purple</s:t>
        </s:is>
      </s:c>
      <s:c r="B41" s="41" t="inlineStr">
        <s:is>
          <s:t>Control / architecture logic</s:t>
        </s:is>
      </s:c>
    </s:row>
    <s:row r="42">
      <s:c r="A42" s="10" t="inlineStr">
        <s:is>
          <s:t>Teal</s:t>
        </s:is>
      </s:c>
      <s:c r="B42" s="41" t="inlineStr">
        <s:is>
          <s:t>KPI / key anchor</s:t>
        </s:is>
      </s:c>
    </s:row>
    <s:row r="43"/>
    <s:row r="44">
      <s:c r="A44" s="52" t="inlineStr">
        <s:is>
          <s:t>Audit i kodit dhe scope-it — 2026-09-07</s:t>
        </s:is>
      </s:c>
    </s:row>
    <s:row r="45" ht="54.95" customHeight="1" s="48">
      <s:c r="A45" s="42" t="inlineStr">
        <s:is>
          <s:t>Rishikim i thelluar: 133 skedarë first-party dhe 185 task-e. 02_BACKLOG: Y zbatimi, Z kryer, AA mbetur, AB pranim/prova të kërkuara, AC prova reale, AD kod/gjetje. 7 In Review, 106 In Progress, 35 Not Started, 2 Blocked, 35 Deferred, 0 Done.</s:t>
        </s:is>
      </s:c>
    </s:row>
    <s:row r="46" ht="54.95" customHeight="1" s="48">
      <s:c r="A46" s="42" t="inlineStr">
        <s:is>
          <s:t>Progress 2026-09-07: 31 task-e partial u përditësuan me implementim dhe prova të reja; 0 u quajtën Done pa gates. 42/42 unit/integration dhe 8/8 E2E kaluan, bashkë me lint/types. 15_GJETJET J–K tregon statusin aktual të 17 gjetjeve.</s:t>
        </s:is>
      </s:c>
    </s:row>
    <s:row r="47">
      <s:c r="A47" t="inlineStr">
        <s:is>
          <s:t>Progress 2026-09-08: 44 task-e partial u përditësuan me implementim dhe prova të reja; 0 u quajtën Done pa gates. 47/47 unit/integration dhe 8/8 E2E kaluan, bashkë me lint/types. 15_GJETJET J–K tregon statusin aktual të 17 gjetjeve.</s:t>
        </s:is>
      </s:c>
    </s:row>
    <s:row r="48">
      <s:c r="A48" t="inlineStr">
        <s:is>
          <s:t>Code audit + S0-A03 implementation 2026-09-08: 24 task-e janë kryer në kod dhe presin pranim/gate; 90 janë pjesërisht të implementuara; 34 pa filluar; 35 deferred; 2 blocked; 0 Done. Shiko 02_BACKLOG AE–AJ dhe 16_HANDOFF_2_DEV.</s:t>
        </s:is>
      </s:c>
    </s:row>
  </s:sheetData>
  <s:mergeCells count="33">
    <s:mergeCell ref="B42:D42"/>
    <s:mergeCell ref="C16:H16"/>
    <s:mergeCell ref="B9:H9"/>
    <s:mergeCell ref="B6:H6"/>
    <s:mergeCell ref="B30:H30"/>
    <s:mergeCell ref="A45:H45"/>
    <s:mergeCell ref="A1:H1"/>
    <s:mergeCell ref="B5:H5"/>
    <s:mergeCell ref="B38:D38"/>
    <s:mergeCell ref="B37:D37"/>
    <s:mergeCell ref="B26:H26"/>
    <s:mergeCell ref="B40:D40"/>
    <s:mergeCell ref="B7:H7"/>
    <s:mergeCell ref="C17:H17"/>
    <s:mergeCell ref="B25:H25"/>
    <s:mergeCell ref="A46:H46"/>
    <s:mergeCell ref="B3:H3"/>
    <s:mergeCell ref="A12:H12"/>
    <s:mergeCell ref="B36:D36"/>
    <s:mergeCell ref="B27:H27"/>
    <s:mergeCell ref="B41:D41"/>
    <s:mergeCell ref="B35:D35"/>
    <s:mergeCell ref="A33:H33"/>
    <s:mergeCell ref="C18:H18"/>
    <s:mergeCell ref="A23:H23"/>
    <s:mergeCell ref="C15:H15"/>
    <s:mergeCell ref="B8:H8"/>
    <s:mergeCell ref="C14:H14"/>
    <s:mergeCell ref="B29:H29"/>
    <s:mergeCell ref="A44:H44"/>
    <s:mergeCell ref="C20:H20"/>
    <s:mergeCell ref="B39:D39"/>
    <s:mergeCell ref="B28:H28"/>
  </s:mergeCells>
  <s:pageMargins left="0.25" right="0.25" top="0.5" bottom="0.5" header="0.5" footer="0.5"/>
  <s:pageSetup fitToHeight="0"/>
  <s:headerFooter>
    <s:oddHeader/>
    <s:oddFooter>&amp;C&amp;8 AI Marketing Platform - Engineering Execution Workbook v1.0</s:oddFooter>
    <s:evenHeader/>
    <s:evenFooter/>
    <s:firstHeader/>
    <s:firstFooter/>
  </s:headerFooter>
  <s:legacyDrawing r:id="anysvml"/>
</s:worksheet>
</file>

<file path=xl/worksheets/sheet2.xml><?xml version="1.0" encoding="utf-8"?>
<s:worksheet xmlns:s="http://schemas.openxmlformats.org/spreadsheetml/2006/main">
  <s:sheetPr>
    <s:tabColor rgb="FF2563EB"/>
    <s:outlinePr summaryBelow="1" summaryRight="1"/>
    <s:pageSetUpPr fitToPage="1"/>
  </s:sheetPr>
  <s:dimension ref="A1:P17"/>
  <s:sheetViews>
    <s:sheetView showGridLines="0" zoomScale="90" workbookViewId="0">
      <s:pane ySplit="4" topLeftCell="A5" activePane="bottomLeft" state="frozen"/>
      <s:selection pane="bottomLeft" activeCell="A1" sqref="A1"/>
    </s:sheetView>
  </s:sheetViews>
  <s:sheetFormatPr baseColWidth="8" defaultRowHeight="15"/>
  <s:cols>
    <s:col width="8" customWidth="1" style="48" min="1" max="1"/>
    <s:col width="12" customWidth="1" style="48" min="2" max="4"/>
    <s:col width="46" customWidth="1" style="48" min="5" max="5"/>
    <s:col width="26" customWidth="1" style="48" min="6" max="6"/>
    <s:col width="10" customWidth="1" style="48" min="7" max="8"/>
    <s:col width="11" customWidth="1" style="48" min="9" max="12"/>
    <s:col width="10" customWidth="1" style="48" min="13" max="14"/>
    <s:col width="9" customWidth="1" style="48" min="15" max="15"/>
    <s:col width="14" customWidth="1" style="48" min="16" max="16"/>
  </s:cols>
  <s:sheetData>
    <s:row r="1" ht="33.95" customHeight="1" s="48">
      <s:c r="A1" s="40" t="inlineStr">
        <s:is>
          <s:t>22-Week Master Roadmap - 2 Engineers (Production GA at S8)</s:t>
        </s:is>
      </s:c>
    </s:row>
    <s:row r="2">
      <s:c r="A2" s="39" t="inlineStr">
        <s:is>
          <s:t>Dates/estimates remain the original plan. Status audited 2026-09-07; S8/S9/S10 counters repaired. In Review is not production acceptance; release gates remain mandatory.</s:t>
        </s:is>
      </s:c>
    </s:row>
    <s:row r="3"/>
    <s:row r="4" ht="30" customHeight="1" s="48">
      <s:c r="A4" s="11" t="inlineStr">
        <s:is>
          <s:t>Sprint</s:t>
        </s:is>
      </s:c>
      <s:c r="B4" s="11" t="inlineStr">
        <s:is>
          <s:t>Weeks</s:t>
        </s:is>
      </s:c>
      <s:c r="C4" s="11" t="inlineStr">
        <s:is>
          <s:t>Start</s:t>
        </s:is>
      </s:c>
      <s:c r="D4" s="11" t="inlineStr">
        <s:is>
          <s:t>End</s:t>
        </s:is>
      </s:c>
      <s:c r="E4" s="11" t="inlineStr">
        <s:is>
          <s:t>Outcome</s:t>
        </s:is>
      </s:c>
      <s:c r="F4" s="11" t="inlineStr">
        <s:is>
          <s:t>Primary Gates</s:t>
        </s:is>
      </s:c>
      <s:c r="G4" s="11" t="inlineStr">
        <s:is>
          <s:t>A Hours</s:t>
        </s:is>
      </s:c>
      <s:c r="H4" s="11" t="inlineStr">
        <s:is>
          <s:t>B Hours</s:t>
        </s:is>
      </s:c>
      <s:c r="I4" s="11" t="inlineStr">
        <s:is>
          <s:t>Total Hours</s:t>
        </s:is>
      </s:c>
      <s:c r="J4" s="11" t="inlineStr">
        <s:is>
          <s:t>Capacity</s:t>
        </s:is>
      </s:c>
      <s:c r="K4" s="11" t="inlineStr">
        <s:is>
          <s:t>Utilization</s:t>
        </s:is>
      </s:c>
      <s:c r="L4" s="11" t="inlineStr">
        <s:is>
          <s:t>Buffer Hours</s:t>
        </s:is>
      </s:c>
      <s:c r="M4" s="11" t="inlineStr">
        <s:is>
          <s:t>Open P0</s:t>
        </s:is>
      </s:c>
      <s:c r="N4" s="11" t="inlineStr">
        <s:is>
          <s:t>Task Count</s:t>
        </s:is>
      </s:c>
      <s:c r="O4" s="11" t="inlineStr">
        <s:is>
          <s:t>Done</s:t>
        </s:is>
      </s:c>
      <s:c r="P4" s="11" t="inlineStr">
        <s:is>
          <s:t>Sprint Status</s:t>
        </s:is>
      </s:c>
    </s:row>
    <s:row r="5">
      <s:c r="A5" s="12" t="inlineStr">
        <s:is>
          <s:t>S0</s:t>
        </s:is>
      </s:c>
      <s:c r="B5" s="13" t="inlineStr">
        <s:is>
          <s:t>Weeks 1-2</s:t>
        </s:is>
      </s:c>
      <s:c r="C5" s="14">
        <s:f>'00_README'!$B$14+(ROW()-5)*'00_README'!$B$15</s:f>
        <s:v>46272.0</s:v>
      </s:c>
      <s:c r="D5" s="14">
        <s:f>C5+'00_README'!$B$15-1</s:f>
        <s:v>46285.0</s:v>
      </s:c>
      <s:c r="E5" s="13" t="inlineStr">
        <s:is>
          <s:t>Foundation secure skeleton</s:t>
        </s:is>
      </s:c>
      <s:c r="F5" s="13" t="inlineStr">
        <s:is>
          <s:t>RG-01 / RG-02 / RG-03 / RG-17</s:t>
        </s:is>
      </s:c>
      <s:c r="G5" s="15">
        <s:f>SUMIFS('02_BACKLOG'!$K:$K,'02_BACKLOG'!$B:$B,$A5,'02_BACKLOG'!$I:$I,"Programmer A")</s:f>
        <s:v>71</s:v>
      </s:c>
      <s:c r="H5" s="15">
        <s:f>SUMIFS('02_BACKLOG'!$K:$K,'02_BACKLOG'!$B:$B,$A5,'02_BACKLOG'!$I:$I,"Programmer B")</s:f>
        <s:v>71</s:v>
      </s:c>
      <s:c r="I5" s="15">
        <s:f>G5+H5</s:f>
        <s:v>142</s:v>
      </s:c>
      <s:c r="J5" s="15">
        <s:f>'00_README'!$B$16*2</s:f>
        <s:v>160</s:v>
      </s:c>
      <s:c r="K5" s="16">
        <s:f>IFERROR(I5/J5,0)</s:f>
        <s:v>0.8875</s:v>
      </s:c>
      <s:c r="L5" s="15">
        <s:f>J5-I5</s:f>
        <s:v>18</s:v>
      </s:c>
      <s:c r="M5" s="15">
        <s:f>COUNTIFS('02_BACKLOG'!$B:$B,$A5,'02_BACKLOG'!$H:$H,"P0",'02_BACKLOG'!$L:$L,"&lt;&gt;Done",'02_BACKLOG'!$L:$L,"&lt;&gt;Deferred")</s:f>
        <s:v>14</s:v>
      </s:c>
      <s:c r="N5" s="15">
        <s:f>COUNTIF('02_BACKLOG'!$B:$B,$A5)</s:f>
        <s:v>18</s:v>
      </s:c>
      <s:c r="O5" s="15">
        <s:f>COUNTIFS('02_BACKLOG'!$B:$B,$A5,'02_BACKLOG'!$L:$L,"Done")</s:f>
        <s:v>0</s:v>
      </s:c>
      <s:c r="P5" s="15" t="str">
        <s:f>IF(COUNTIFS('02_BACKLOG'!$B:$B,$A5,'02_BACKLOG'!$L:$L,"Deferred")=N5,"Deferred",IF(O5=N5,"Done",IF(COUNTIFS('02_BACKLOG'!$B:$B,$A5,'02_BACKLOG'!$L:$L,"In Progress")+COUNTIFS('02_BACKLOG'!$B:$B,$A5,'02_BACKLOG'!$L:$L,"In Review")&gt;0,"In Progress",IF(COUNTIFS('02_BACKLOG'!$B:$B,$A5,'02_BACKLOG'!$L:$L,"Blocked")&gt;0,"Blocked","Planned"))))</s:f>
        <s:v>In Progress</s:v>
      </s:c>
    </s:row>
    <s:row r="6">
      <s:c r="A6" s="12" t="inlineStr">
        <s:is>
          <s:t>S1</s:t>
        </s:is>
      </s:c>
      <s:c r="B6" s="13" t="inlineStr">
        <s:is>
          <s:t>Weeks 3-4</s:t>
        </s:is>
      </s:c>
      <s:c r="C6" s="14">
        <s:f>'00_README'!$B$14+(ROW()-5)*'00_README'!$B$15</s:f>
        <s:v>46286.0</s:v>
      </s:c>
      <s:c r="D6" s="14">
        <s:f>C6+'00_README'!$B$15-1</s:f>
        <s:v>46299.0</s:v>
      </s:c>
      <s:c r="E6" s="13" t="inlineStr">
        <s:is>
          <s:t>Organizations, RBAC, onboarding and Brand Brain</s:t>
        </s:is>
      </s:c>
      <s:c r="F6" s="13" t="inlineStr">
        <s:is>
          <s:t>RG-02 / RG-03 / RG-17</s:t>
        </s:is>
      </s:c>
      <s:c r="G6" s="15">
        <s:f>SUMIFS('02_BACKLOG'!$K:$K,'02_BACKLOG'!$B:$B,$A6,'02_BACKLOG'!$I:$I,"Programmer A")</s:f>
        <s:v>72</s:v>
      </s:c>
      <s:c r="H6" s="15">
        <s:f>SUMIFS('02_BACKLOG'!$K:$K,'02_BACKLOG'!$B:$B,$A6,'02_BACKLOG'!$I:$I,"Programmer B")</s:f>
        <s:v>71</s:v>
      </s:c>
      <s:c r="I6" s="15">
        <s:f>G6+H6</s:f>
        <s:v>143</s:v>
      </s:c>
      <s:c r="J6" s="15">
        <s:f>'00_README'!$B$16*2</s:f>
        <s:v>160</s:v>
      </s:c>
      <s:c r="K6" s="16">
        <s:f>IFERROR(I6/J6,0)</s:f>
        <s:v>0.89375</s:v>
      </s:c>
      <s:c r="L6" s="15">
        <s:f>J6-I6</s:f>
        <s:v>17</s:v>
      </s:c>
      <s:c r="M6" s="15">
        <s:f>COUNTIFS('02_BACKLOG'!$B:$B,$A6,'02_BACKLOG'!$H:$H,"P0",'02_BACKLOG'!$L:$L,"&lt;&gt;Done",'02_BACKLOG'!$L:$L,"&lt;&gt;Deferred")</s:f>
        <s:v>9</s:v>
      </s:c>
      <s:c r="N6" s="15">
        <s:f>COUNTIF('02_BACKLOG'!$B:$B,$A6)</s:f>
        <s:v>18</s:v>
      </s:c>
      <s:c r="O6" s="15">
        <s:f>COUNTIFS('02_BACKLOG'!$B:$B,$A6,'02_BACKLOG'!$L:$L,"Done")</s:f>
        <s:v>0</s:v>
      </s:c>
      <s:c r="P6" s="15" t="str">
        <s:f>IF(COUNTIFS('02_BACKLOG'!$B:$B,$A6,'02_BACKLOG'!$L:$L,"Deferred")=N6,"Deferred",IF(O6=N6,"Done",IF(COUNTIFS('02_BACKLOG'!$B:$B,$A6,'02_BACKLOG'!$L:$L,"In Progress")+COUNTIFS('02_BACKLOG'!$B:$B,$A6,'02_BACKLOG'!$L:$L,"In Review")&gt;0,"In Progress",IF(COUNTIFS('02_BACKLOG'!$B:$B,$A6,'02_BACKLOG'!$L:$L,"Blocked")&gt;0,"Blocked","Planned"))))</s:f>
        <s:v>In Progress</s:v>
      </s:c>
    </s:row>
    <s:row r="7">
      <s:c r="A7" s="12" t="inlineStr">
        <s:is>
          <s:t>S2</s:t>
        </s:is>
      </s:c>
      <s:c r="B7" s="13" t="inlineStr">
        <s:is>
          <s:t>Weeks 5-6</s:t>
        </s:is>
      </s:c>
      <s:c r="C7" s="14">
        <s:f>'00_README'!$B$14+(ROW()-5)*'00_README'!$B$15</s:f>
        <s:v>46300.0</s:v>
      </s:c>
      <s:c r="D7" s="14">
        <s:f>C7+'00_README'!$B$15-1</s:f>
        <s:v>46313.0</s:v>
      </s:c>
      <s:c r="E7" s="13" t="inlineStr">
        <s:is>
          <s:t>Media pipeline and Meta connection</s:t>
        </s:is>
      </s:c>
      <s:c r="F7" s="13" t="inlineStr">
        <s:is>
          <s:t>RG-04 / RG-05 / RG-17</s:t>
        </s:is>
      </s:c>
      <s:c r="G7" s="15">
        <s:f>SUMIFS('02_BACKLOG'!$K:$K,'02_BACKLOG'!$B:$B,$A7,'02_BACKLOG'!$I:$I,"Programmer A")</s:f>
        <s:v>75</s:v>
      </s:c>
      <s:c r="H7" s="15">
        <s:f>SUMIFS('02_BACKLOG'!$K:$K,'02_BACKLOG'!$B:$B,$A7,'02_BACKLOG'!$I:$I,"Programmer B")</s:f>
        <s:v>70</s:v>
      </s:c>
      <s:c r="I7" s="15">
        <s:f>G7+H7</s:f>
        <s:v>145</s:v>
      </s:c>
      <s:c r="J7" s="15">
        <s:f>'00_README'!$B$16*2</s:f>
        <s:v>160</s:v>
      </s:c>
      <s:c r="K7" s="16">
        <s:f>IFERROR(I7/J7,0)</s:f>
        <s:v>0.90625</s:v>
      </s:c>
      <s:c r="L7" s="15">
        <s:f>J7-I7</s:f>
        <s:v>15</s:v>
      </s:c>
      <s:c r="M7" s="15">
        <s:f>COUNTIFS('02_BACKLOG'!$B:$B,$A7,'02_BACKLOG'!$H:$H,"P0",'02_BACKLOG'!$L:$L,"&lt;&gt;Done",'02_BACKLOG'!$L:$L,"&lt;&gt;Deferred")</s:f>
        <s:v>15</s:v>
      </s:c>
      <s:c r="N7" s="15">
        <s:f>COUNTIF('02_BACKLOG'!$B:$B,$A7)</s:f>
        <s:v>18</s:v>
      </s:c>
      <s:c r="O7" s="15">
        <s:f>COUNTIFS('02_BACKLOG'!$B:$B,$A7,'02_BACKLOG'!$L:$L,"Done")</s:f>
        <s:v>0</s:v>
      </s:c>
      <s:c r="P7" s="15" t="str">
        <s:f>IF(COUNTIFS('02_BACKLOG'!$B:$B,$A7,'02_BACKLOG'!$L:$L,"Deferred")=N7,"Deferred",IF(O7=N7,"Done",IF(COUNTIFS('02_BACKLOG'!$B:$B,$A7,'02_BACKLOG'!$L:$L,"In Progress")+COUNTIFS('02_BACKLOG'!$B:$B,$A7,'02_BACKLOG'!$L:$L,"In Review")&gt;0,"In Progress",IF(COUNTIFS('02_BACKLOG'!$B:$B,$A7,'02_BACKLOG'!$L:$L,"Blocked")&gt;0,"Blocked","Planned"))))</s:f>
        <s:v>In Progress</s:v>
      </s:c>
    </s:row>
    <s:row r="8">
      <s:c r="A8" s="12" t="inlineStr">
        <s:is>
          <s:t>S3</s:t>
        </s:is>
      </s:c>
      <s:c r="B8" s="13" t="inlineStr">
        <s:is>
          <s:t>Weeks 7-8</s:t>
        </s:is>
      </s:c>
      <s:c r="C8" s="14">
        <s:f>'00_README'!$B$14+(ROW()-5)*'00_README'!$B$15</s:f>
        <s:v>46314.0</s:v>
      </s:c>
      <s:c r="D8" s="14">
        <s:f>C8+'00_README'!$B$15-1</s:f>
        <s:v>46327.0</s:v>
      </s:c>
      <s:c r="E8" s="13" t="inlineStr">
        <s:is>
          <s:t>Grounded AI creation and Content Studio</s:t>
        </s:is>
      </s:c>
      <s:c r="F8" s="13" t="inlineStr">
        <s:is>
          <s:t>RG-06 / RG-16 / RG-17</s:t>
        </s:is>
      </s:c>
      <s:c r="G8" s="15">
        <s:f>SUMIFS('02_BACKLOG'!$K:$K,'02_BACKLOG'!$B:$B,$A8,'02_BACKLOG'!$I:$I,"Programmer A")</s:f>
        <s:v>74</s:v>
      </s:c>
      <s:c r="H8" s="15">
        <s:f>SUMIFS('02_BACKLOG'!$K:$K,'02_BACKLOG'!$B:$B,$A8,'02_BACKLOG'!$I:$I,"Programmer B")</s:f>
        <s:v>76</s:v>
      </s:c>
      <s:c r="I8" s="15">
        <s:f>G8+H8</s:f>
        <s:v>150</s:v>
      </s:c>
      <s:c r="J8" s="15">
        <s:f>'00_README'!$B$16*2</s:f>
        <s:v>160</s:v>
      </s:c>
      <s:c r="K8" s="16">
        <s:f>IFERROR(I8/J8,0)</s:f>
        <s:v>0.9375</s:v>
      </s:c>
      <s:c r="L8" s="15">
        <s:f>J8-I8</s:f>
        <s:v>10</s:v>
      </s:c>
      <s:c r="M8" s="15">
        <s:f>COUNTIFS('02_BACKLOG'!$B:$B,$A8,'02_BACKLOG'!$H:$H,"P0",'02_BACKLOG'!$L:$L,"&lt;&gt;Done",'02_BACKLOG'!$L:$L,"&lt;&gt;Deferred")</s:f>
        <s:v>15</s:v>
      </s:c>
      <s:c r="N8" s="15">
        <s:f>COUNTIF('02_BACKLOG'!$B:$B,$A8)</s:f>
        <s:v>19</s:v>
      </s:c>
      <s:c r="O8" s="15">
        <s:f>COUNTIFS('02_BACKLOG'!$B:$B,$A8,'02_BACKLOG'!$L:$L,"Done")</s:f>
        <s:v>0</s:v>
      </s:c>
      <s:c r="P8" s="15" t="str">
        <s:f>IF(COUNTIFS('02_BACKLOG'!$B:$B,$A8,'02_BACKLOG'!$L:$L,"Deferred")=N8,"Deferred",IF(O8=N8,"Done",IF(COUNTIFS('02_BACKLOG'!$B:$B,$A8,'02_BACKLOG'!$L:$L,"In Progress")+COUNTIFS('02_BACKLOG'!$B:$B,$A8,'02_BACKLOG'!$L:$L,"In Review")&gt;0,"In Progress",IF(COUNTIFS('02_BACKLOG'!$B:$B,$A8,'02_BACKLOG'!$L:$L,"Blocked")&gt;0,"Blocked","Planned"))))</s:f>
        <s:v>In Progress</s:v>
      </s:c>
    </s:row>
    <s:row r="9">
      <s:c r="A9" s="12" t="inlineStr">
        <s:is>
          <s:t>S4</s:t>
        </s:is>
      </s:c>
      <s:c r="B9" s="13" t="inlineStr">
        <s:is>
          <s:t>Weeks 9-10</s:t>
        </s:is>
      </s:c>
      <s:c r="C9" s="14">
        <s:f>'00_README'!$B$14+(ROW()-5)*'00_README'!$B$15</s:f>
        <s:v>46328.0</s:v>
      </s:c>
      <s:c r="D9" s="14">
        <s:f>C9+'00_README'!$B$15-1</s:f>
        <s:v>46341.0</s:v>
      </s:c>
      <s:c r="E9" s="13" t="inlineStr">
        <s:is>
          <s:t>Approval, calendar and reliable publishing closed beta</s:t>
        </s:is>
      </s:c>
      <s:c r="F9" s="13" t="inlineStr">
        <s:is>
          <s:t>RG-07 / RG-14 / RG-17</s:t>
        </s:is>
      </s:c>
      <s:c r="G9" s="15">
        <s:f>SUMIFS('02_BACKLOG'!$K:$K,'02_BACKLOG'!$B:$B,$A9,'02_BACKLOG'!$I:$I,"Programmer A")</s:f>
        <s:v>72</s:v>
      </s:c>
      <s:c r="H9" s="15">
        <s:f>SUMIFS('02_BACKLOG'!$K:$K,'02_BACKLOG'!$B:$B,$A9,'02_BACKLOG'!$I:$I,"Programmer B")</s:f>
        <s:v>73</s:v>
      </s:c>
      <s:c r="I9" s="15">
        <s:f>G9+H9</s:f>
        <s:v>145</s:v>
      </s:c>
      <s:c r="J9" s="15">
        <s:f>'00_README'!$B$16*2</s:f>
        <s:v>160</s:v>
      </s:c>
      <s:c r="K9" s="16">
        <s:f>IFERROR(I9/J9,0)</s:f>
        <s:v>0.90625</s:v>
      </s:c>
      <s:c r="L9" s="15">
        <s:f>J9-I9</s:f>
        <s:v>15</s:v>
      </s:c>
      <s:c r="M9" s="15">
        <s:f>COUNTIFS('02_BACKLOG'!$B:$B,$A9,'02_BACKLOG'!$H:$H,"P0",'02_BACKLOG'!$L:$L,"&lt;&gt;Done",'02_BACKLOG'!$L:$L,"&lt;&gt;Deferred")</s:f>
        <s:v>14</s:v>
      </s:c>
      <s:c r="N9" s="15">
        <s:f>COUNTIF('02_BACKLOG'!$B:$B,$A9)</s:f>
        <s:v>18</s:v>
      </s:c>
      <s:c r="O9" s="15">
        <s:f>COUNTIFS('02_BACKLOG'!$B:$B,$A9,'02_BACKLOG'!$L:$L,"Done")</s:f>
        <s:v>0</s:v>
      </s:c>
      <s:c r="P9" s="15" t="str">
        <s:f>IF(COUNTIFS('02_BACKLOG'!$B:$B,$A9,'02_BACKLOG'!$L:$L,"Deferred")=N9,"Deferred",IF(O9=N9,"Done",IF(COUNTIFS('02_BACKLOG'!$B:$B,$A9,'02_BACKLOG'!$L:$L,"In Progress")+COUNTIFS('02_BACKLOG'!$B:$B,$A9,'02_BACKLOG'!$L:$L,"In Review")&gt;0,"In Progress",IF(COUNTIFS('02_BACKLOG'!$B:$B,$A9,'02_BACKLOG'!$L:$L,"Blocked")&gt;0,"Blocked","Planned"))))</s:f>
        <s:v>In Progress</s:v>
      </s:c>
    </s:row>
    <s:row r="10">
      <s:c r="A10" s="12" t="inlineStr">
        <s:is>
          <s:t>S5</s:t>
        </s:is>
      </s:c>
      <s:c r="B10" s="13" t="inlineStr">
        <s:is>
          <s:t>Weeks 11-12</s:t>
        </s:is>
      </s:c>
      <s:c r="C10" s="14">
        <s:f>'00_README'!$B$14+(ROW()-5)*'00_README'!$B$15</s:f>
        <s:v>46342.0</s:v>
      </s:c>
      <s:c r="D10" s="14">
        <s:f>C10+'00_README'!$B$15-1</s:f>
        <s:v>46355.0</s:v>
      </s:c>
      <s:c r="E10" s="13" t="inlineStr">
        <s:is>
          <s:t>Analytics, billing, entitlements and hardening</s:t>
        </s:is>
      </s:c>
      <s:c r="F10" s="13" t="inlineStr">
        <s:is>
          <s:t>RG-08 / RG-11 / RG-12</s:t>
        </s:is>
      </s:c>
      <s:c r="G10" s="15">
        <s:f>SUMIFS('02_BACKLOG'!$K:$K,'02_BACKLOG'!$B:$B,$A10,'02_BACKLOG'!$I:$I,"Programmer A")</s:f>
        <s:v>73</s:v>
      </s:c>
      <s:c r="H10" s="15">
        <s:f>SUMIFS('02_BACKLOG'!$K:$K,'02_BACKLOG'!$B:$B,$A10,'02_BACKLOG'!$I:$I,"Programmer B")</s:f>
        <s:v>69</s:v>
      </s:c>
      <s:c r="I10" s="15">
        <s:f>G10+H10</s:f>
        <s:v>142</s:v>
      </s:c>
      <s:c r="J10" s="15">
        <s:f>'00_README'!$B$16*2</s:f>
        <s:v>160</s:v>
      </s:c>
      <s:c r="K10" s="16">
        <s:f>IFERROR(I10/J10,0)</s:f>
        <s:v>0.8875</s:v>
      </s:c>
      <s:c r="L10" s="15">
        <s:f>J10-I10</s:f>
        <s:v>18</s:v>
      </s:c>
      <s:c r="M10" s="15">
        <s:f>COUNTIFS('02_BACKLOG'!$B:$B,$A10,'02_BACKLOG'!$H:$H,"P0",'02_BACKLOG'!$L:$L,"&lt;&gt;Done",'02_BACKLOG'!$L:$L,"&lt;&gt;Deferred")</s:f>
        <s:v>10</s:v>
      </s:c>
      <s:c r="N10" s="15">
        <s:f>COUNTIF('02_BACKLOG'!$B:$B,$A10)</s:f>
        <s:v>18</s:v>
      </s:c>
      <s:c r="O10" s="15">
        <s:f>COUNTIFS('02_BACKLOG'!$B:$B,$A10,'02_BACKLOG'!$L:$L,"Done")</s:f>
        <s:v>0</s:v>
      </s:c>
      <s:c r="P10" s="15" t="str">
        <s:f>IF(COUNTIFS('02_BACKLOG'!$B:$B,$A10,'02_BACKLOG'!$L:$L,"Deferred")=N10,"Deferred",IF(O10=N10,"Done",IF(COUNTIFS('02_BACKLOG'!$B:$B,$A10,'02_BACKLOG'!$L:$L,"In Progress")+COUNTIFS('02_BACKLOG'!$B:$B,$A10,'02_BACKLOG'!$L:$L,"In Review")&gt;0,"In Progress",IF(COUNTIFS('02_BACKLOG'!$B:$B,$A10,'02_BACKLOG'!$L:$L,"Blocked")&gt;0,"Blocked","Planned"))))</s:f>
        <s:v>In Progress</s:v>
      </s:c>
    </s:row>
    <s:row r="11">
      <s:c r="A11" s="12" t="inlineStr">
        <s:is>
          <s:t>S6</s:t>
        </s:is>
      </s:c>
      <s:c r="B11" s="13" t="inlineStr">
        <s:is>
          <s:t>Weeks 13-14</s:t>
        </s:is>
      </s:c>
      <s:c r="C11" s="14">
        <s:f>'00_README'!$B$14+(ROW()-5)*'00_README'!$B$15</s:f>
        <s:v>46356.0</s:v>
      </s:c>
      <s:c r="D11" s="14">
        <s:f>C11+'00_README'!$B$15-1</s:f>
        <s:v>46369.0</s:v>
      </s:c>
      <s:c r="E11" s="13" t="inlineStr">
        <s:is>
          <s:t>Marketing OS: strategy, campaigns, HQ, copilot, safety/cost foundation</s:t>
        </s:is>
      </s:c>
      <s:c r="F11" s="13" t="inlineStr">
        <s:is>
          <s:t>RG-15 / RG-16 / RG-17 / RG-18</s:t>
        </s:is>
      </s:c>
      <s:c r="G11" s="15">
        <s:f>SUMIFS('02_BACKLOG'!$K:$K,'02_BACKLOG'!$B:$B,$A11,'02_BACKLOG'!$I:$I,"Programmer A")</s:f>
        <s:v>81</s:v>
      </s:c>
      <s:c r="H11" s="15">
        <s:f>SUMIFS('02_BACKLOG'!$K:$K,'02_BACKLOG'!$B:$B,$A11,'02_BACKLOG'!$I:$I,"Programmer B")</s:f>
        <s:v>71</s:v>
      </s:c>
      <s:c r="I11" s="15">
        <s:f>G11+H11</s:f>
        <s:v>152</s:v>
      </s:c>
      <s:c r="J11" s="15">
        <s:f>'00_README'!$B$16*2</s:f>
        <s:v>160</s:v>
      </s:c>
      <s:c r="K11" s="16">
        <s:f>IFERROR(I11/J11,0)</s:f>
        <s:v>0.95</s:v>
      </s:c>
      <s:c r="L11" s="15">
        <s:f>J11-I11</s:f>
        <s:v>8</s:v>
      </s:c>
      <s:c r="M11" s="15">
        <s:f>COUNTIFS('02_BACKLOG'!$B:$B,$A11,'02_BACKLOG'!$H:$H,"P0",'02_BACKLOG'!$L:$L,"&lt;&gt;Done",'02_BACKLOG'!$L:$L,"&lt;&gt;Deferred")</s:f>
        <s:v>10</s:v>
      </s:c>
      <s:c r="N11" s="15">
        <s:f>COUNTIF('02_BACKLOG'!$B:$B,$A11)</s:f>
        <s:v>20</s:v>
      </s:c>
      <s:c r="O11" s="15">
        <s:f>COUNTIFS('02_BACKLOG'!$B:$B,$A11,'02_BACKLOG'!$L:$L,"Done")</s:f>
        <s:v>0</s:v>
      </s:c>
      <s:c r="P11" s="15" t="str">
        <s:f>IF(COUNTIFS('02_BACKLOG'!$B:$B,$A11,'02_BACKLOG'!$L:$L,"Deferred")=N11,"Deferred",IF(O11=N11,"Done",IF(COUNTIFS('02_BACKLOG'!$B:$B,$A11,'02_BACKLOG'!$L:$L,"In Progress")+COUNTIFS('02_BACKLOG'!$B:$B,$A11,'02_BACKLOG'!$L:$L,"In Review")&gt;0,"In Progress",IF(COUNTIFS('02_BACKLOG'!$B:$B,$A11,'02_BACKLOG'!$L:$L,"Blocked")&gt;0,"Blocked","Planned"))))</s:f>
        <s:v>In Progress</s:v>
      </s:c>
    </s:row>
    <s:row r="12">
      <s:c r="A12" s="12" t="inlineStr">
        <s:is>
          <s:t>S7</s:t>
        </s:is>
      </s:c>
      <s:c r="B12" s="13" t="inlineStr">
        <s:is>
          <s:t>Weeks 15-16</s:t>
        </s:is>
      </s:c>
      <s:c r="C12" s="14">
        <s:f>'00_README'!$B$14+(ROW()-5)*'00_README'!$B$15</s:f>
        <s:v>46370.0</s:v>
      </s:c>
      <s:c r="D12" s="14">
        <s:f>C12+'00_README'!$B$15-1</s:f>
        <s:v>46383.0</s:v>
      </s:c>
      <s:c r="E12" s="13" t="inlineStr">
        <s:is>
          <s:t>GA feature completeness: learning, safety, admin, billing edge cases, UX reliability</s:t>
        </s:is>
      </s:c>
      <s:c r="F12" s="13" t="inlineStr">
        <s:is>
          <s:t>RG-08 / RG-15 / RG-16 / RG-17 / RG-18</s:t>
        </s:is>
      </s:c>
      <s:c r="G12" s="15">
        <s:f>SUMIFS('02_BACKLOG'!$K:$K,'02_BACKLOG'!$B:$B,$A12,'02_BACKLOG'!$I:$I,"Programmer A")</s:f>
        <s:v>83</s:v>
      </s:c>
      <s:c r="H12" s="15">
        <s:f>SUMIFS('02_BACKLOG'!$K:$K,'02_BACKLOG'!$B:$B,$A12,'02_BACKLOG'!$I:$I,"Programmer B")</s:f>
        <s:v>70</s:v>
      </s:c>
      <s:c r="I12" s="15">
        <s:f>G12+H12</s:f>
        <s:v>153</s:v>
      </s:c>
      <s:c r="J12" s="15">
        <s:f>'00_README'!$B$16*2</s:f>
        <s:v>160</s:v>
      </s:c>
      <s:c r="K12" s="16">
        <s:f>IFERROR(I12/J12,0)</s:f>
        <s:v>0.95625</s:v>
      </s:c>
      <s:c r="L12" s="15">
        <s:f>J12-I12</s:f>
        <s:v>7</s:v>
      </s:c>
      <s:c r="M12" s="15">
        <s:f>COUNTIFS('02_BACKLOG'!$B:$B,$A12,'02_BACKLOG'!$H:$H,"P0",'02_BACKLOG'!$L:$L,"&lt;&gt;Done",'02_BACKLOG'!$L:$L,"&lt;&gt;Deferred")</s:f>
        <s:v>13</s:v>
      </s:c>
      <s:c r="N12" s="15">
        <s:f>COUNTIF('02_BACKLOG'!$B:$B,$A12)</s:f>
        <s:v>20</s:v>
      </s:c>
      <s:c r="O12" s="15">
        <s:f>COUNTIFS('02_BACKLOG'!$B:$B,$A12,'02_BACKLOG'!$L:$L,"Done")</s:f>
        <s:v>0</s:v>
      </s:c>
      <s:c r="P12" s="15" t="str">
        <s:f>IF(COUNTIFS('02_BACKLOG'!$B:$B,$A12,'02_BACKLOG'!$L:$L,"Deferred")=N12,"Deferred",IF(O12=N12,"Done",IF(COUNTIFS('02_BACKLOG'!$B:$B,$A12,'02_BACKLOG'!$L:$L,"In Progress")+COUNTIFS('02_BACKLOG'!$B:$B,$A12,'02_BACKLOG'!$L:$L,"In Review")&gt;0,"In Progress",IF(COUNTIFS('02_BACKLOG'!$B:$B,$A12,'02_BACKLOG'!$L:$L,"Blocked")&gt;0,"Blocked","Planned"))))</s:f>
        <s:v>In Progress</s:v>
      </s:c>
    </s:row>
    <s:row r="13">
      <s:c r="A13" s="12" t="inlineStr">
        <s:is>
          <s:t>S8</s:t>
        </s:is>
      </s:c>
      <s:c r="B13" s="13" t="inlineStr">
        <s:is>
          <s:t>Weeks 17-18</s:t>
        </s:is>
      </s:c>
      <s:c r="C13" s="14">
        <s:f>'00_README'!$B$14+(ROW()-5)*'00_README'!$B$15</s:f>
        <s:v>46384.0</s:v>
      </s:c>
      <s:c r="D13" s="14">
        <s:f>C13+'00_README'!$B$15-1</s:f>
        <s:v>46397.0</s:v>
      </s:c>
      <s:c r="E13" s="13" t="inlineStr">
        <s:is>
          <s:t>Production GA hardening, UAT, DR, Meta readiness and progressive launch</s:t>
        </s:is>
      </s:c>
      <s:c r="F13" s="13" t="inlineStr">
        <s:is>
          <s:t>RG-04 / RG-09 / RG-12 / RG-13 / RG-14 / RG-17 / RG-18</s:t>
        </s:is>
      </s:c>
      <s:c r="G13" s="15">
        <s:f>SUMIFS('02_BACKLOG'!$K:$K,'02_BACKLOG'!$B:$B,$A13,'02_BACKLOG'!$I:$I,"Programmer A")</s:f>
        <s:v>50</s:v>
      </s:c>
      <s:c r="H13" s="15">
        <s:f>SUMIFS('02_BACKLOG'!$K:$K,'02_BACKLOG'!$B:$B,$A13,'02_BACKLOG'!$I:$I,"Programmer B")</s:f>
        <s:v>66</s:v>
      </s:c>
      <s:c r="I13" s="15">
        <s:f>G13+H13</s:f>
        <s:v>116</s:v>
      </s:c>
      <s:c r="J13" s="15">
        <s:f>'00_README'!$B$16*2</s:f>
        <s:v>160</s:v>
      </s:c>
      <s:c r="K13" s="16">
        <s:f>IFERROR(I13/J13,0)</s:f>
        <s:v>0.725</s:v>
      </s:c>
      <s:c r="L13" s="15">
        <s:f>J13-I13</s:f>
        <s:v>44</s:v>
      </s:c>
      <s:c r="M13" s="15">
        <s:f>COUNTIFS('02_BACKLOG'!$B:$B,$A13,'02_BACKLOG'!$H:$H,"P0",'02_BACKLOG'!$L:$L,"&lt;&gt;Done",'02_BACKLOG'!$L:$L,"&lt;&gt;Deferred")</s:f>
        <s:v>14</s:v>
      </s:c>
      <s:c r="N13" s="15">
        <s:f>COUNTIF('02_BACKLOG'!$B:$B,$A13)</s:f>
        <s:v>16</s:v>
      </s:c>
      <s:c r="O13" s="15">
        <s:f>COUNTIFS('02_BACKLOG'!$B:$B,$A13,'02_BACKLOG'!$L:$L,"Done")</s:f>
        <s:v>0</s:v>
      </s:c>
      <s:c r="P13" s="15" t="str">
        <s:f>IF(COUNTIFS('02_BACKLOG'!$B:$B,$A13,'02_BACKLOG'!$L:$L,"Deferred")=N13,"Deferred",IF(O13=N13,"Done",IF(COUNTIFS('02_BACKLOG'!$B:$B,$A13,'02_BACKLOG'!$L:$L,"In Progress")+COUNTIFS('02_BACKLOG'!$B:$B,$A13,'02_BACKLOG'!$L:$L,"In Review")&gt;0,"In Progress",IF(COUNTIFS('02_BACKLOG'!$B:$B,$A13,'02_BACKLOG'!$L:$L,"Blocked")&gt;0,"Blocked","Planned"))))</s:f>
        <s:v>In Progress</s:v>
      </s:c>
    </s:row>
    <s:row r="14">
      <s:c r="A14" s="12" t="inlineStr">
        <s:is>
          <s:t>S9</s:t>
        </s:is>
      </s:c>
      <s:c r="B14" s="13" t="inlineStr">
        <s:is>
          <s:t>Weeks 19-20</s:t>
        </s:is>
      </s:c>
      <s:c r="C14" s="14">
        <s:f>'00_README'!$B$14+(ROW()-5)*'00_README'!$B$15</s:f>
        <s:v>46398.0</s:v>
      </s:c>
      <s:c r="D14" s="14">
        <s:f>C14+'00_README'!$B$15-1</s:f>
        <s:v>46411.0</s:v>
      </s:c>
      <s:c r="E14" s="13" t="inlineStr">
        <s:is>
          <s:t>Growth formats and agency productivity</s:t>
        </s:is>
      </s:c>
      <s:c r="F14" s="13" t="inlineStr">
        <s:is>
          <s:t>RG-19</s:t>
        </s:is>
      </s:c>
      <s:c r="G14" s="15">
        <s:f>SUMIFS('02_BACKLOG'!$K:$K,'02_BACKLOG'!$B:$B,$A14,'02_BACKLOG'!$I:$I,"Programmer A")</s:f>
        <s:v>41</s:v>
      </s:c>
      <s:c r="H14" s="15">
        <s:f>SUMIFS('02_BACKLOG'!$K:$K,'02_BACKLOG'!$B:$B,$A14,'02_BACKLOG'!$I:$I,"Programmer B")</s:f>
        <s:v>44</s:v>
      </s:c>
      <s:c r="I14" s="15">
        <s:f>G14+H14</s:f>
        <s:v>85</s:v>
      </s:c>
      <s:c r="J14" s="15">
        <s:f>'00_README'!$B$16*2</s:f>
        <s:v>160</s:v>
      </s:c>
      <s:c r="K14" s="16">
        <s:f>IFERROR(I14/J14,0)</s:f>
        <s:v>0.53125</s:v>
      </s:c>
      <s:c r="L14" s="15">
        <s:f>J14-I14</s:f>
        <s:v>75</s:v>
      </s:c>
      <s:c r="M14" s="15">
        <s:f>COUNTIFS('02_BACKLOG'!$B:$B,$A14,'02_BACKLOG'!$H:$H,"P0",'02_BACKLOG'!$L:$L,"&lt;&gt;Done",'02_BACKLOG'!$L:$L,"&lt;&gt;Deferred")</s:f>
        <s:v>0</s:v>
      </s:c>
      <s:c r="N14" s="15">
        <s:f>COUNTIF('02_BACKLOG'!$B:$B,$A14)</s:f>
        <s:v>10</s:v>
      </s:c>
      <s:c r="O14" s="15">
        <s:f>COUNTIFS('02_BACKLOG'!$B:$B,$A14,'02_BACKLOG'!$L:$L,"Done")</s:f>
        <s:v>0</s:v>
      </s:c>
      <s:c r="P14" s="15" t="str">
        <s:f>IF(COUNTIFS('02_BACKLOG'!$B:$B,$A14,'02_BACKLOG'!$L:$L,"Deferred")=N14,"Deferred",IF(O14=N14,"Done",IF(COUNTIFS('02_BACKLOG'!$B:$B,$A14,'02_BACKLOG'!$L:$L,"In Progress")+COUNTIFS('02_BACKLOG'!$B:$B,$A14,'02_BACKLOG'!$L:$L,"In Review")&gt;0,"In Progress",IF(COUNTIFS('02_BACKLOG'!$B:$B,$A14,'02_BACKLOG'!$L:$L,"Blocked")&gt;0,"Blocked","Planned"))))</s:f>
        <s:v>Deferred</s:v>
      </s:c>
    </s:row>
    <s:row r="15">
      <s:c r="A15" s="12" t="inlineStr">
        <s:is>
          <s:t>S10</s:t>
        </s:is>
      </s:c>
      <s:c r="B15" s="13" t="inlineStr">
        <s:is>
          <s:t>Weeks 21-22</s:t>
        </s:is>
      </s:c>
      <s:c r="C15" s="14">
        <s:f>'00_README'!$B$14+(ROW()-5)*'00_README'!$B$15</s:f>
        <s:v>46412.0</s:v>
      </s:c>
      <s:c r="D15" s="14">
        <s:f>C15+'00_README'!$B$15-1</s:f>
        <s:v>46425.0</s:v>
      </s:c>
      <s:c r="E15" s="13" t="inlineStr">
        <s:is>
          <s:t>Growth automation, reporting, multilingual and experiments</s:t>
        </s:is>
      </s:c>
      <s:c r="F15" s="13" t="inlineStr">
        <s:is>
          <s:t>Post-GA</s:t>
        </s:is>
      </s:c>
      <s:c r="G15" s="15">
        <s:f>SUMIFS('02_BACKLOG'!$K:$K,'02_BACKLOG'!$B:$B,$A15,'02_BACKLOG'!$I:$I,"Programmer A")</s:f>
        <s:v>38</s:v>
      </s:c>
      <s:c r="H15" s="15">
        <s:f>SUMIFS('02_BACKLOG'!$K:$K,'02_BACKLOG'!$B:$B,$A15,'02_BACKLOG'!$I:$I,"Programmer B")</s:f>
        <s:v>38</s:v>
      </s:c>
      <s:c r="I15" s="15">
        <s:f>G15+H15</s:f>
        <s:v>76</s:v>
      </s:c>
      <s:c r="J15" s="15">
        <s:f>'00_README'!$B$16*2</s:f>
        <s:v>160</s:v>
      </s:c>
      <s:c r="K15" s="16">
        <s:f>IFERROR(I15/J15,0)</s:f>
        <s:v>0.475</s:v>
      </s:c>
      <s:c r="L15" s="15">
        <s:f>J15-I15</s:f>
        <s:v>84</s:v>
      </s:c>
      <s:c r="M15" s="15">
        <s:f>COUNTIFS('02_BACKLOG'!$B:$B,$A15,'02_BACKLOG'!$H:$H,"P0",'02_BACKLOG'!$L:$L,"&lt;&gt;Done",'02_BACKLOG'!$L:$L,"&lt;&gt;Deferred")</s:f>
        <s:v>0</s:v>
      </s:c>
      <s:c r="N15" s="15">
        <s:f>COUNTIF('02_BACKLOG'!$B:$B,$A15)</s:f>
        <s:v>10</s:v>
      </s:c>
      <s:c r="O15" s="15">
        <s:f>COUNTIFS('02_BACKLOG'!$B:$B,$A15,'02_BACKLOG'!$L:$L,"Done")</s:f>
        <s:v>0</s:v>
      </s:c>
      <s:c r="P15" s="15" t="str">
        <s:f>IF(COUNTIFS('02_BACKLOG'!$B:$B,$A15,'02_BACKLOG'!$L:$L,"Deferred")=N15,"Deferred",IF(O15=N15,"Done",IF(COUNTIFS('02_BACKLOG'!$B:$B,$A15,'02_BACKLOG'!$L:$L,"In Progress")+COUNTIFS('02_BACKLOG'!$B:$B,$A15,'02_BACKLOG'!$L:$L,"In Review")&gt;0,"In Progress",IF(COUNTIFS('02_BACKLOG'!$B:$B,$A15,'02_BACKLOG'!$L:$L,"Blocked")&gt;0,"Blocked","Planned"))))</s:f>
        <s:v>Deferred</s:v>
      </s:c>
    </s:row>
    <s:row r="16">
      <s:c r="A16" s="12" t="n"/>
      <s:c r="B16" s="13" t="n"/>
      <s:c r="C16" s="14" t="n"/>
      <s:c r="D16" s="14" t="n"/>
      <s:c r="E16" s="13" t="n"/>
      <s:c r="F16" s="13" t="n"/>
      <s:c r="G16" s="15" t="n"/>
      <s:c r="H16" s="15" t="n"/>
      <s:c r="I16" s="15" t="n"/>
      <s:c r="J16" s="15" t="n"/>
      <s:c r="K16" s="16" t="n"/>
      <s:c r="L16" s="15" t="n"/>
    </s:row>
    <s:row r="17">
      <s:c r="A17" s="12" t="inlineStr">
        <s:is>
          <s:t>TOTAL</s:t>
        </s:is>
      </s:c>
      <s:c r="B17" s="13" t="n"/>
      <s:c r="C17" s="14" t="n"/>
      <s:c r="D17" s="14" t="n"/>
      <s:c r="E17" s="13" t="n"/>
      <s:c r="F17" s="13" t="n"/>
      <s:c r="G17" s="15">
        <s:f>SUM(G5:G15)</s:f>
        <s:v>730</s:v>
      </s:c>
      <s:c r="H17" s="15">
        <s:f>SUM(H5:H15)</s:f>
        <s:v>719</s:v>
      </s:c>
      <s:c r="I17" s="15">
        <s:f>SUM(I5:I15)</s:f>
        <s:v>1449</s:v>
      </s:c>
      <s:c r="J17" s="15">
        <s:f>SUM(J5:J15)</s:f>
        <s:v>1760</s:v>
      </s:c>
      <s:c r="K17" s="16">
        <s:f>IFERROR(I17/J17,0)</s:f>
        <s:v>0.8232954545454545</s:v>
      </s:c>
      <s:c r="L17" s="15">
        <s:f>SUM(L5:L15)</s:f>
        <s:v>311</s:v>
      </s:c>
      <s:c r="M17">
        <s:f>SUM(M5:M15)</s:f>
        <s:v>114</s:v>
      </s:c>
      <s:c r="N17">
        <s:f>SUM(N5:N15)</s:f>
        <s:v>185</s:v>
      </s:c>
      <s:c r="O17">
        <s:f>SUM(O5:O15)</s:f>
        <s:v>0</s:v>
      </s:c>
      <s:c r="P17" t="inlineStr">
        <s:is>
          <s:t>Overall plan — gates open</s:t>
        </s:is>
      </s:c>
    </s:row>
  </s:sheetData>
  <s:autoFilter ref="A4:P12"/>
  <s:mergeCells count="2">
    <s:mergeCell ref="A1:P1"/>
    <s:mergeCell ref="A2:P2"/>
  </s:mergeCells>
  <s:conditionalFormatting sqref="K5:K12">
    <s:cfRule type="cellIs" priority="1" operator="greaterThan" dxfId="1">
      <s:formula>0.95</s:formula>
    </s:cfRule>
    <s:cfRule type="cellIs" priority="2" operator="between" dxfId="0">
      <s:formula>0.85</s:formula>
      <s:formula>0.95</s:formula>
    </s:cfRule>
  </s:conditionalFormatting>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3.xml><?xml version="1.0" encoding="utf-8"?>
<s:worksheet xmlns:r="http://schemas.openxmlformats.org/officeDocument/2006/relationships" xmlns:s="http://schemas.openxmlformats.org/spreadsheetml/2006/main">
  <s:sheetPr>
    <s:tabColor rgb="FF4F46E5"/>
    <s:outlinePr summaryBelow="1" summaryRight="1"/>
    <s:pageSetUpPr fitToPage="1"/>
  </s:sheetPr>
  <s:dimension ref="A1:AJ189"/>
  <s:sheetViews>
    <s:sheetView showGridLines="0" tabSelected="1" zoomScale="75" workbookViewId="0">
      <s:pane xSplit="1" ySplit="4" topLeftCell="Y5" activePane="bottomRight" state="frozen"/>
      <s:selection pane="bottomRight" activeCell="Y5" sqref="Y5"/>
      <s:selection pane="bottomLeft" activeCell="A5" sqref="A5"/>
      <s:selection pane="topRight" activeCell="Y1" sqref="Y1"/>
    </s:sheetView>
  </s:sheetViews>
  <s:sheetFormatPr baseColWidth="8" defaultRowHeight="15"/>
  <s:cols>
    <s:col width="14" customWidth="1" style="48" min="1" max="1"/>
    <s:col width="9" customWidth="1" style="48" min="2" max="2"/>
    <s:col width="20" customWidth="1" style="48" min="3" max="3"/>
    <s:col width="34" customWidth="1" style="48" min="4" max="4"/>
    <s:col width="58" customWidth="1" style="48" min="5" max="6"/>
    <s:col width="24" customWidth="1" style="48" min="7" max="7"/>
    <s:col width="10" customWidth="1" style="48" min="8" max="8"/>
    <s:col width="15" customWidth="1" style="48" min="9" max="10"/>
    <s:col width="11" customWidth="1" style="48" min="11" max="11"/>
    <s:col width="14" customWidth="1" style="48" min="12" max="12"/>
    <s:col width="25" customWidth="1" style="48" min="13" max="13"/>
    <s:col width="20" customWidth="1" style="48" min="14" max="14"/>
    <s:col width="32" customWidth="1" style="48" min="15" max="15"/>
    <s:col width="26" customWidth="1" style="48" min="16" max="16"/>
    <s:col width="14" customWidth="1" style="48" min="17" max="18"/>
    <s:col width="24" customWidth="1" style="48" min="19" max="19"/>
    <s:col width="18" customWidth="1" style="48" min="20" max="21"/>
    <s:col width="14" customWidth="1" style="48" min="22" max="22"/>
    <s:col width="44" customWidth="1" style="48" min="23" max="23"/>
    <s:col width="30" customWidth="1" style="48" min="24" max="24"/>
    <s:col width="26" customWidth="1" style="48" min="25" max="25"/>
    <s:col width="64" customWidth="1" style="48" min="26" max="26"/>
    <s:col width="78" customWidth="1" style="48" min="27" max="28"/>
    <s:col width="70" customWidth="1" style="48" min="29" max="29"/>
    <s:col width="76" customWidth="1" style="48" min="30" max="30"/>
    <s:col width="34" customWidth="1" style="48" min="31" max="31"/>
    <s:col width="24" customWidth="1" style="48" min="32" max="32"/>
    <s:col width="28" customWidth="1" style="48" min="33" max="33"/>
    <s:col width="74" customWidth="1" style="48" min="34" max="34"/>
    <s:col width="42" customWidth="1" style="48" min="35" max="35"/>
    <s:col width="34" customWidth="1" style="48" min="36" max="36"/>
  </s:cols>
  <s:sheetData>
    <s:row r="1" ht="33.95" customHeight="1" s="48">
      <s:c r="A1" s="40" t="inlineStr">
        <s:is>
          <s:t>Engineering Master Backlog - 185 Exact Tasks</s:t>
        </s:is>
      </s:c>
    </s:row>
    <s:row r="2">
      <s:c r="A2" s="39" t="inlineStr">
        <s:is>
          <s:t>Implementation master: every task has contractual acceptance criteria. S0-S8 = Production GA; S9-S10 = Growth expansion. Filter by Layer, Surface, Scope, Sprint, Owner and Gate.</s:t>
        </s:is>
      </s:c>
    </s:row>
    <s:row r="3"/>
    <s:row r="4" ht="42" customHeight="1" s="48">
      <s:c r="A4" s="11" t="inlineStr">
        <s:is>
          <s:t>Task ID</s:t>
        </s:is>
      </s:c>
      <s:c r="B4" s="11" t="inlineStr">
        <s:is>
          <s:t>Sprint</s:t>
        </s:is>
      </s:c>
      <s:c r="C4" s="11" t="inlineStr">
        <s:is>
          <s:t>Epic</s:t>
        </s:is>
      </s:c>
      <s:c r="D4" s="11" t="inlineStr">
        <s:is>
          <s:t>Task</s:t>
        </s:is>
      </s:c>
      <s:c r="E4" s="11" t="inlineStr">
        <s:is>
          <s:t>Implementation Detail</s:t>
        </s:is>
      </s:c>
      <s:c r="F4" s="11" t="inlineStr">
        <s:is>
          <s:t>Acceptance Criteria</s:t>
        </s:is>
      </s:c>
      <s:c r="G4" s="11" t="inlineStr">
        <s:is>
          <s:t>Dependencies</s:t>
        </s:is>
      </s:c>
      <s:c r="H4" s="11" t="inlineStr">
        <s:is>
          <s:t>Priority</s:t>
        </s:is>
      </s:c>
      <s:c r="I4" s="11" t="inlineStr">
        <s:is>
          <s:t>Owner</s:t>
        </s:is>
      </s:c>
      <s:c r="J4" s="11" t="inlineStr">
        <s:is>
          <s:t>Reviewer</s:t>
        </s:is>
      </s:c>
      <s:c r="K4" s="11" t="inlineStr">
        <s:is>
          <s:t>Est. Hours</s:t>
        </s:is>
      </s:c>
      <s:c r="L4" s="11" t="inlineStr">
        <s:is>
          <s:t>Status</s:t>
        </s:is>
      </s:c>
      <s:c r="M4" s="11" t="inlineStr">
        <s:is>
          <s:t>Test Evidence</s:t>
        </s:is>
      </s:c>
      <s:c r="N4" s="11" t="inlineStr">
        <s:is>
          <s:t>Release Gate</s:t>
        </s:is>
      </s:c>
      <s:c r="O4" s="11" t="inlineStr">
        <s:is>
          <s:t>Security / Data Notes</s:t>
        </s:is>
      </s:c>
      <s:c r="P4" s="11" t="inlineStr">
        <s:is>
          <s:t>Deliverable / Artifact</s:t>
        </s:is>
      </s:c>
      <s:c r="Q4" s="11" t="inlineStr">
        <s:is>
          <s:t>Planned Start</s:t>
        </s:is>
      </s:c>
      <s:c r="R4" s="11" t="inlineStr">
        <s:is>
          <s:t>Planned End</s:t>
        </s:is>
      </s:c>
      <s:c r="S4" s="11" t="inlineStr">
        <s:is>
          <s:t>PR / Evidence Link</s:t>
        </s:is>
      </s:c>
      <s:c r="T4" s="23" t="inlineStr">
        <s:is>
          <s:t>Layer / Workstream</s:t>
        </s:is>
      </s:c>
      <s:c r="U4" s="23" t="inlineStr">
        <s:is>
          <s:t>Product Surface</s:t>
        </s:is>
      </s:c>
      <s:c r="V4" s="23" t="inlineStr">
        <s:is>
          <s:t>Release Scope</s:t>
        </s:is>
      </s:c>
      <s:c r="W4" s="23" t="inlineStr">
        <s:is>
          <s:t>Nuxt UI / UX Specification</s:t>
        </s:is>
      </s:c>
      <s:c r="X4" s="23" t="inlineStr">
        <s:is>
          <s:t>Verification Type</s:t>
        </s:is>
      </s:c>
      <s:c r="Y4" s="53" t="inlineStr">
        <s:is>
          <s:t>Vlerësimi i zbatimit</s:t>
        </s:is>
      </s:c>
      <s:c r="Z4" s="53" t="inlineStr">
        <s:is>
          <s:t>Çfarë është kryer realisht</s:t>
        </s:is>
      </s:c>
      <s:c r="AA4" s="53" t="inlineStr">
        <s:is>
          <s:t>Çfarë mbetet për këtë task</s:t>
        </s:is>
      </s:c>
      <s:c r="AB4" s="53" t="inlineStr">
        <s:is>
          <s:t>Prova / kushti për mbyllje</s:t>
        </s:is>
      </s:c>
      <s:c r="AC4" s="53" t="inlineStr">
        <s:is>
          <s:t>Provat e kryera dhe kufijtë</s:t>
        </s:is>
      </s:c>
      <s:c r="AD4" s="53" t="inlineStr">
        <s:is>
          <s:t>Kodi / gjetjet e auditit</s:t>
        </s:is>
      </s:c>
      <s:c r="AE4" s="53" t="inlineStr">
        <s:is>
          <s:t>Gjendja reale e kodit — 2026-09-08</s:t>
        </s:is>
      </s:c>
      <s:c r="AF4" s="53" t="inlineStr">
        <s:is>
          <s:t>Kërkon zhvillim tjetër?</s:t>
        </s:is>
      </s:c>
      <s:c r="AG4" s="53" t="inlineStr">
        <s:is>
          <s:t>Kërkon provë / gate?</s:t>
        </s:is>
      </s:c>
      <s:c r="AH4" s="53" t="inlineStr">
        <s:is>
          <s:t>Hapi i ardhshëm konkret</s:t>
        </s:is>
      </s:c>
      <s:c r="AI4" s="53" t="inlineStr">
        <s:is>
          <s:t>Evidenca e auditit të ri</s:t>
        </s:is>
      </s:c>
      <s:c r="AJ4" s="53" t="inlineStr">
        <s:is>
          <s:t>Pronari / reviewer për handoff</s:t>
        </s:is>
      </s:c>
    </s:row>
    <s:row r="5" ht="180" customHeight="1" s="48">
      <s:c r="A5" s="17" t="inlineStr">
        <s:is>
          <s:t>S0-A01</s:t>
        </s:is>
      </s:c>
      <s:c r="B5" s="18" t="inlineStr">
        <s:is>
          <s:t>S0</s:t>
        </s:is>
      </s:c>
      <s:c r="C5" s="18" t="inlineStr">
        <s:is>
          <s:t>Architecture</s:t>
        </s:is>
      </s:c>
      <s:c r="D5" s="12" t="inlineStr">
        <s:is>
          <s:t>Record ADR-001 modular monolith baseline</s:t>
        </s:is>
      </s:c>
      <s:c r="E5" s="13" t="inlineStr">
        <s:is>
          <s:t>Create ADR template and ADR-001 with modules, dependency direction, service-extraction triggers and deployment units.</s:t>
        </s:is>
      </s:c>
      <s:c r="F5" s="13" t="inlineStr">
        <s:is>
          <s:t>ADR accepted; no unresolved architecture blocker; repo links ADR from README.</s:t>
        </s:is>
      </s:c>
      <s:c r="G5" s="18" t="inlineStr">
        <s:is>
          <s:t>None</s:t>
        </s:is>
      </s:c>
      <s:c r="H5" s="18" t="inlineStr">
        <s:is>
          <s:t>P0</s:t>
        </s:is>
      </s:c>
      <s:c r="I5" s="18" t="inlineStr">
        <s:is>
          <s:t>Programmer A</s:t>
        </s:is>
      </s:c>
      <s:c r="J5" s="18" t="inlineStr">
        <s:is>
          <s:t>Programmer B</s:t>
        </s:is>
      </s:c>
      <s:c r="K5" s="18" t="n">
        <s:v>6</s:v>
      </s:c>
      <s:c r="L5" s="28" t="inlineStr">
        <s:is>
          <s:t>In Review</s:t>
        </s:is>
      </s:c>
      <s:c r="M5" s="13" t="inlineStr">
        <s:is>
          <s:t>Architecture review checklist</s:t>
        </s:is>
      </s:c>
      <s:c r="N5" s="18" t="inlineStr">
        <s:is>
          <s:t>RG-01</s:t>
        </s:is>
      </s:c>
      <s:c r="O5" s="13" t="inlineStr">
        <s:is>
          <s:t>Defines trust/service boundaries.</s:t>
        </s:is>
      </s:c>
      <s:c r="P5" s="18" t="inlineStr">
        <s:is>
          <s:t>docs/adr/ADR-001.md</s:t>
        </s:is>
      </s:c>
      <s:c r="Q5" s="14">
        <s:f>INDEX('01_ROADMAP'!$C$5:$C$15,MATCH(B5,'01_ROADMAP'!$A$5:$A$15,0))</s:f>
        <s:v>46272.0</s:v>
      </s:c>
      <s:c r="R5" s="14">
        <s:f>INDEX('01_ROADMAP'!$D$5:$D$15,MATCH(B5,'01_ROADMAP'!$A$5:$A$15,0))</s:f>
        <s:v>46285.0</s:v>
      </s:c>
      <s:c r="S5" s="29" t="inlineStr">
        <s:is>
          <s:t>docs/backlog-partial-progress-2026-09-08.json#S0-A01</s:t>
        </s:is>
      </s:c>
      <s:c r="T5" s="13" t="inlineStr">
        <s:is>
          <s:t>SETUP/PLATFORM</s:t>
        </s:is>
      </s:c>
      <s:c r="U5" s="13" t="inlineStr">
        <s:is>
          <s:t>Platform</s:t>
        </s:is>
      </s:c>
      <s:c r="V5" s="13" t="inlineStr">
        <s:is>
          <s:t>GA</s:t>
        </s:is>
      </s:c>
      <s:c r="W5" s="13" t="inlineStr">
        <s:is>
          <s:t>N/A / API-domain contract consumed by frontend where applicable.</s:t>
        </s:is>
      </s:c>
      <s:c r="X5" s="13" t="inlineStr">
        <s:is>
          <s:t>Acceptance Criteria + Test Evidence + Release Gate</s:t>
        </s:is>
      </s:c>
      <s:c r="Y5" s="54" t="inlineStr">
        <s:is>
          <s:t>Implementuar — në pranim</s:t>
        </s:is>
      </s:c>
      <s:c r="Z5" s="55" t="inlineStr">
        <s:is>
          <s:t>ADR-002 është Accepted dhe dokumenton modular monolith Nuxt/Nitro/PostgreSQL, kufijtë e moduleve, worker-in e ndarë dhe deployment-in. ADR-001 është Superseded; README/status/handoff/validation janë sinkronizuar.
Klasifikimi 2026-09-08: ADR dhe lidhjet e dokumentimit janë implementuar; pret architecture review/RG-01.</s:t>
        </s:is>
      </s:c>
      <s:c r="AA5" s="55" t="inlineStr">
        <s:is>
          <s:t>Mbeten architecture review checklist, prova e deployment-it të ndarë dhe RG-01. Follow-up-et RLS/runtime-role/observability të ADR-002 nuk janë gates të kaluara.</s:t>
        </s:is>
      </s:c>
      <s:c r="AB5" s="55" t="inlineStr">
        <s:is>
          <s:t>Prova e kërkuar nga backlog-u: Architecture review checklist
Kriteri për t'u verifikuar (nuk deklarohet i kaluar): ADR accepted; no unresolved architecture blocker; repo links ADR from README.
DA-13: Content review në local bypass dhe public verification, pa përshkrime të shërbimeve të paaktivizuara si aktive; operatori pranon versionin publik.
Pranimi kërkon edhe gate-et: RG-01. Asnjë gate nuk është shënuar Passed nga ky audit.</s:t>
        </s:is>
      </s:c>
      <s:c r="AC5" s="55" t="inlineStr">
        <s:is>
          <s:t>ADR-002 + kontroll statik i dokumenteve; lint dhe TypeScript kaluan. Nuk ka review sign-off të ekipit ose hosted release gate.</s:t>
        </s:is>
      </s:c>
      <s:c r="AD5" s="55" t="inlineStr">
        <s:is>
          <s:t>docs/adr/ADR-002-production-modular-monolith.md
docs/adr/ADR-001-frontend-demo.md
README.md
docs/FRONTEND-STATUS.md
docs/BACKEND-HANDOFF.md</s:t>
        </s:is>
      </s:c>
      <s:c r="AE5" s="42" t="inlineStr">
        <s:is>
          <s:t>Kryer në kod — pret pranim/gate</s:t>
        </s:is>
      </s:c>
      <s:c r="AF5" s="42" t="inlineStr">
        <s:is>
          <s:t>Jo për scope-in e rreshtit</s:t>
        </s:is>
      </s:c>
      <s:c r="AG5" s="42" t="inlineStr">
        <s:is>
          <s:t>Po</s:t>
        </s:is>
      </s:c>
      <s:c r="AH5" s="42" t="inlineStr">
        <s:is>
          <s:t>Mbeten architecture review checklist, prova e deployment-it të ndarë dhe RG-01. Follow-up-et RLS/runtime-role/observability të ADR-002 nuk janë gates të kaluara.</s:t>
        </s:is>
      </s:c>
      <s:c r="AI5" s="42" t="inlineStr">
        <s:is>
          <s:t>docs/backlog-code-handoff-2026-09-08.json#S0-A01</s:t>
        </s:is>
      </s:c>
      <s:c r="AJ5" s="42" t="inlineStr">
        <s:is>
          <s:t>Programmer A / review: Programmer B</s:t>
        </s:is>
      </s:c>
    </s:row>
    <s:row r="6" ht="180" customHeight="1" s="48">
      <s:c r="A6" s="17" t="inlineStr">
        <s:is>
          <s:t>S0-A02</s:t>
        </s:is>
      </s:c>
      <s:c r="B6" s="18" t="inlineStr">
        <s:is>
          <s:t>S0</s:t>
        </s:is>
      </s:c>
      <s:c r="C6" s="18" t="inlineStr">
        <s:is>
          <s:t>Repository</s:t>
        </s:is>
      </s:c>
      <s:c r="D6" s="12" t="inlineStr">
        <s:is>
          <s:t>Bootstrap backend/worker packages</s:t>
        </s:is>
      </s:c>
      <s:c r="E6" s="13" t="inlineStr">
        <s:is>
          <s:t>Create FastAPI API and worker packages, src module convention, shared config package and health endpoints.</s:t>
        </s:is>
      </s:c>
      <s:c r="F6" s="13" t="inlineStr">
        <s:is>
          <s:t>API/worker start locally; module import rule documented; /health/live returns 200.</s:t>
        </s:is>
      </s:c>
      <s:c r="G6" s="18" t="inlineStr">
        <s:is>
          <s:t>S0-A01</s:t>
        </s:is>
      </s:c>
      <s:c r="H6" s="18" t="inlineStr">
        <s:is>
          <s:t>P0</s:t>
        </s:is>
      </s:c>
      <s:c r="I6" s="18" t="inlineStr">
        <s:is>
          <s:t>Programmer A</s:t>
        </s:is>
      </s:c>
      <s:c r="J6" s="18" t="inlineStr">
        <s:is>
          <s:t>Programmer B</s:t>
        </s:is>
      </s:c>
      <s:c r="K6" s="18" t="n">
        <s:v>8</s:v>
      </s:c>
      <s:c r="L6" s="28" t="inlineStr">
        <s:is>
          <s:t>In Review</s:t>
        </s:is>
      </s:c>
      <s:c r="M6" s="13" t="inlineStr">
        <s:is>
          <s:t>pytest smoke + container smoke</s:t>
        </s:is>
      </s:c>
      <s:c r="N6" s="18" t="inlineStr">
        <s:is>
          <s:t>RG-01</s:t>
        </s:is>
      </s:c>
      <s:c r="O6" s="13" t="inlineStr">
        <s:is>
          <s:t>No provider SDK in domain package.</s:t>
        </s:is>
      </s:c>
      <s:c r="P6" s="18" t="inlineStr">
        <s:is>
          <s:t>apps/api + apps/worker</s:t>
        </s:is>
      </s:c>
      <s:c r="Q6" s="14">
        <s:f>INDEX('01_ROADMAP'!$C$5:$C$15,MATCH(B6,'01_ROADMAP'!$A$5:$A$15,0))</s:f>
        <s:v>46272.0</s:v>
      </s:c>
      <s:c r="R6" s="14">
        <s:f>INDEX('01_ROADMAP'!$D$5:$D$15,MATCH(B6,'01_ROADMAP'!$A$5:$A$15,0))</s:f>
        <s:v>46285.0</s:v>
      </s:c>
      <s:c r="S6" s="29" t="inlineStr">
        <s:is>
          <s:t>docs/backlog-partial-progress-2026-09-08.json#S0-A02</s:t>
        </s:is>
      </s:c>
      <s:c r="T6" s="13" t="inlineStr">
        <s:is>
          <s:t>SETUP/PLATFORM</s:t>
        </s:is>
      </s:c>
      <s:c r="U6" s="13" t="inlineStr">
        <s:is>
          <s:t>Platform</s:t>
        </s:is>
      </s:c>
      <s:c r="V6" s="13" t="inlineStr">
        <s:is>
          <s:t>GA</s:t>
        </s:is>
      </s:c>
      <s:c r="W6" s="13" t="inlineStr">
        <s:is>
          <s:t>N/A / API-domain contract consumed by frontend where applicable.</s:t>
        </s:is>
      </s:c>
      <s:c r="X6" s="13" t="inlineStr">
        <s:is>
          <s:t>Acceptance Criteria + Test Evidence + Release Gate</s:t>
        </s:is>
      </s:c>
      <s:c r="Y6" s="54" t="inlineStr">
        <s:is>
          <s:t>Implementuar — në pranim</s:t>
        </s:is>
      </s:c>
      <s:c r="Z6" s="56" t="inlineStr">
        <s:is>
          <s:t>API Nitro dhe publisher funksionojnë nga i njëjti artefakt; /api/health/live dhe /api/health/ready ekzistojnë. Readiness kontrollon DB, migrimin 0013, heartbeat-in kur publishing aktivizohet dhe queue age. Kufijtë e moduleve janë në ADR-002.
Klasifikimi 2026-09-08: API dhe worker-i nisen si role të ndara në container; liveness dhe container smoke kalojnë; pret RG-01.</s:t>
        </s:is>
      </s:c>
      <s:c r="AA6" s="56" t="inlineStr">
        <s:is>
          <s:t>Duhet container/process smoke me publisher të aktivizuar, deployment i veçantë i worker-it dhe RG-01; Meta App mungon për një start real publishing.</s:t>
        </s:is>
      </s:c>
      <s:c r="AB6" s="56" t="inlineStr">
        <s:is>
          <s:t>Prova e kërkuar nga backlog-u: pytest smoke + container smoke
Kriteri për t'u verifikuar (nuk deklarohet i kaluar): API/worker start locally; module import rule documented; /health/live returns 200.
Pranimi kërkon edhe gate-et: RG-01. Asnjë gate nuk është shënuar Passed nga ky audit.</s:t>
        </s:is>
      </s:c>
      <s:c r="AC6" s="56" t="inlineStr">
        <s:is>
          <s:t>Health live/ready kthyen 200 lokalisht; migrimet 0001–0013 u aplikuan. Nuk u krye container smoke.
Validimi 2026-09-08: image-i production me Node 24.20.0 u ngrit healthy si web dhe publisher i veçantë; /api/health/live ktheu 200 brenda container-it.</s:t>
        </s:is>
      </s:c>
      <s:c r="AD6" s="56" t="inlineStr">
        <s:is>
          <s:t>apps/web/server/api/health/live.get.ts
apps/web/server/api/health/ready.get.ts
apps/web/server/plugins/publisher.ts
docs/adr/ADR-002-production-modular-monolith.md
Dockerfile; compose.yaml; apps/web/server/plugins/publisher.ts; apps/web/server/api/health/live.get.ts; docs/DEPLOYMENT.md</s:t>
        </s:is>
      </s:c>
      <s:c r="AE6" s="42" t="inlineStr">
        <s:is>
          <s:t>Kryer në kod — pret pranim/gate</s:t>
        </s:is>
      </s:c>
      <s:c r="AF6" s="42" t="inlineStr">
        <s:is>
          <s:t>Jo për scope-in e rreshtit</s:t>
        </s:is>
      </s:c>
      <s:c r="AG6" s="42" t="inlineStr">
        <s:is>
          <s:t>Po</s:t>
        </s:is>
      </s:c>
      <s:c r="AH6" s="42" t="inlineStr">
        <s:is>
          <s:t>Duhet container/process smoke me publisher të aktivizuar, deployment i veçantë i worker-it dhe RG-01; Meta App mungon për një start real publishing.</s:t>
        </s:is>
      </s:c>
      <s:c r="AI6" s="42" t="inlineStr">
        <s:is>
          <s:t>docs/backlog-code-handoff-2026-09-08.json#S0-A02</s:t>
        </s:is>
      </s:c>
      <s:c r="AJ6" s="42" t="inlineStr">
        <s:is>
          <s:t>Programmer A / review: Programmer B</s:t>
        </s:is>
      </s:c>
    </s:row>
    <s:row r="7" ht="155.1" customHeight="1" s="48">
      <s:c r="A7" s="17" t="inlineStr">
        <s:is>
          <s:t>S0-A03</s:t>
        </s:is>
      </s:c>
      <s:c r="B7" s="18" t="inlineStr">
        <s:is>
          <s:t>S0</s:t>
        </s:is>
      </s:c>
      <s:c r="C7" s="18" t="inlineStr">
        <s:is>
          <s:t>Backend Tooling</s:t>
        </s:is>
      </s:c>
      <s:c r="D7" s="12" t="inlineStr">
        <s:is>
          <s:t>Pin Node.js 24.20.0 and npm 11.19.0 toolchain</s:t>
        </s:is>
      </s:c>
      <s:c r="E7" s="13" t="inlineStr">
        <s:is>
          <s:t>Apply ADR-002's Nitro/TypeScript replacement: pin runtime/package manager, enforce the npm lockfile, ESLint/type policy, deterministic Vitest settings, a versioned pre-commit hook and identical local/CI quality commands.</s:t>
        </s:is>
      </s:c>
      <s:c r="F7" s="13" t="inlineStr">
        <s:is>
          <s:t>Clean npm ci from lock; exact toolchain check plus lint/type/unit commands reproducible locally, in the Docker clean-room target and CI.</s:t>
        </s:is>
      </s:c>
      <s:c r="G7" s="18" t="inlineStr">
        <s:is>
          <s:t>S0-A02</s:t>
        </s:is>
      </s:c>
      <s:c r="H7" s="18" t="inlineStr">
        <s:is>
          <s:t>P0</s:t>
        </s:is>
      </s:c>
      <s:c r="I7" s="18" t="inlineStr">
        <s:is>
          <s:t>Programmer A</s:t>
        </s:is>
      </s:c>
      <s:c r="J7" s="18" t="inlineStr">
        <s:is>
          <s:t>Programmer B</s:t>
        </s:is>
      </s:c>
      <s:c r="K7" s="18" t="n">
        <s:v>5</s:v>
      </s:c>
      <s:c r="L7" s="30" t="inlineStr">
        <s:is>
          <s:t>In Review</s:t>
        </s:is>
      </s:c>
      <s:c r="M7" s="13" t="inlineStr">
        <s:is>
          <s:t>Clean Node 24.20.0 Docker build: toolchain/lint/type/24 unit/28 integration/build passed</s:t>
        </s:is>
      </s:c>
      <s:c r="N7" s="18" t="inlineStr">
        <s:is>
          <s:t>RG-01</s:t>
        </s:is>
      </s:c>
      <s:c r="O7" s="13" t="inlineStr">
        <s:is>
          <s:t>Dependency lock and supply-chain baseline; Docker image pinned by version and digest.</s:t>
        </s:is>
      </s:c>
      <s:c r="P7" s="18" t="inlineStr">
        <s:is>
          <s:t>package manifests + package-lock + .npmrc + hooks + docs/TOOLCHAIN.md</s:t>
        </s:is>
      </s:c>
      <s:c r="Q7" s="14">
        <s:f>INDEX('01_ROADMAP'!$C$5:$C$15,MATCH(B7,'01_ROADMAP'!$A$5:$A$15,0))</s:f>
        <s:v>46272.0</s:v>
      </s:c>
      <s:c r="R7" s="14">
        <s:f>INDEX('01_ROADMAP'!$D$5:$D$15,MATCH(B7,'01_ROADMAP'!$A$5:$A$15,0))</s:f>
        <s:v>46285.0</s:v>
      </s:c>
      <s:c r="S7" s="29" t="inlineStr">
        <s:is>
          <s:t>docs/S0-A03-REPORT-SQ.md</s:t>
        </s:is>
      </s:c>
      <s:c r="T7" s="13" t="inlineStr">
        <s:is>
          <s:t>SETUP/PLATFORM</s:t>
        </s:is>
      </s:c>
      <s:c r="U7" s="13" t="inlineStr">
        <s:is>
          <s:t>AI Platform</s:t>
        </s:is>
      </s:c>
      <s:c r="V7" s="13" t="inlineStr">
        <s:is>
          <s:t>GA</s:t>
        </s:is>
      </s:c>
      <s:c r="W7" s="13" t="inlineStr">
        <s:is>
          <s:t>N/A / API-domain contract consumed by frontend where applicable.</s:t>
        </s:is>
      </s:c>
      <s:c r="X7" s="13" t="inlineStr">
        <s:is>
          <s:t>Acceptance Criteria + Test Evidence + Release Gate</s:t>
        </s:is>
      </s:c>
      <s:c r="Y7" s="57" t="inlineStr">
        <s:is>
          <s:t>Implementuar — në pranim</s:t>
        </s:is>
      </s:c>
      <s:c r="Z7" s="55" t="inlineStr">
        <s:is>
          <s:t>ADR-002 maps the unimplemented Python backend to Nitro/TypeScript. Node.js 24.20.0/npm 11.19.0, engine enforcement, npm lockfile, shared quality commands, deterministic Vitest, pre-commit, CI parity and Docker quality gate are implemented.</s:t>
        </s:is>
      </s:c>
      <s:c r="AA7" s="55" t="inlineStr">
        <s:is>
          <s:t>Kodi i task-ut nuk ka punë të mbetur. Ekzekuto hosted GitHub Actions; Programmer B konfirmon required check dhe regjistron RG-01 para statusit Done.</s:t>
        </s:is>
      </s:c>
      <s:c r="AB7" s="55" t="inlineStr">
        <s:is>
          <s:t>Fresh environment build: clean npm ci; exact toolchain, lint, typecheck, unit/integration and production build; same gate in CI; reviewer/RG-01 sign-off.</s:t>
        </s:is>
      </s:c>
      <s:c r="AC7" s="55" t="inlineStr">
        <s:is>
          <s:t>Validimi 2026-09-08: Docker clean-room me Node.js 24.20.0/npm 11.19.0 instaloi 991 paketa nga lockfile; toolchain/lint/typecheck kaluan; 24/24 unit dhe 28/28 PostgreSQL integration tests kaluan; Nuxt/Nitro production build përfundoi. Hosted CI/reviewer sign-off nuk u deklarua lokalisht.</s:t>
        </s:is>
      </s:c>
      <s:c r="AD7" s="55" t="inlineStr">
        <s:is>
          <s:t>.nvmrc; .npmrc; package.json; package-lock.json; apps/web/package.json; apps/web/vitest.config.ts; .githooks/pre-commit; scripts/check-toolchain.mjs; scripts/install-git-hooks.mjs; Dockerfile; .github/workflows/frontend.yml; docs/TOOLCHAIN.md; docs/VALIDATION.md; docs/S0-A03-REPORT-SQ.md</s:t>
        </s:is>
      </s:c>
      <s:c r="AE7" s="42" t="inlineStr">
        <s:is>
          <s:t>Kryer në kod — pret pranim/gate</s:t>
        </s:is>
      </s:c>
      <s:c r="AF7" s="42" t="inlineStr">
        <s:is>
          <s:t>Jo për scope-in e rreshtit</s:t>
        </s:is>
      </s:c>
      <s:c r="AG7" s="42" t="inlineStr">
        <s:is>
          <s:t>Po — hosted CI/reviewer</s:t>
        </s:is>
      </s:c>
      <s:c r="AH7" s="42" t="inlineStr">
        <s:is>
          <s:t>Ekzekuto hosted GitHub Actions; Programmer B konfirmon required check dhe regjistron RG-01 para statusit Done.</s:t>
        </s:is>
      </s:c>
      <s:c r="AI7" s="42" t="inlineStr">
        <s:is>
          <s:t>docs/S0-A03-REPORT-SQ.md</s:t>
        </s:is>
      </s:c>
      <s:c r="AJ7" s="42" t="inlineStr">
        <s:is>
          <s:t>Programmer A / review: Programmer B</s:t>
        </s:is>
      </s:c>
    </s:row>
    <s:row r="8" ht="155.1" customHeight="1" s="48">
      <s:c r="A8" s="17" t="inlineStr">
        <s:is>
          <s:t>S0-A04</s:t>
        </s:is>
      </s:c>
      <s:c r="B8" s="18" t="inlineStr">
        <s:is>
          <s:t>S0</s:t>
        </s:is>
      </s:c>
      <s:c r="C8" s="18" t="inlineStr">
        <s:is>
          <s:t>Database</s:t>
        </s:is>
      </s:c>
      <s:c r="D8" s="12" t="inlineStr">
        <s:is>
          <s:t>Bootstrap PostgreSQL environments and migrations</s:t>
        </s:is>
      </s:c>
      <s:c r="E8" s="13" t="inlineStr">
        <s:is>
          <s:t>Create local/staging/prod conventions, versioned SQL migrations, separate migration/runtime database roles and a repeatable empty-database strategy.</s:t>
        </s:is>
      </s:c>
      <s:c r="F8" s="13" t="inlineStr">
        <s:is>
          <s:t>Local reset succeeds from zero; migration/runtime roles are separated; staging dry-run documented; no production credentials committed.</s:t>
        </s:is>
      </s:c>
      <s:c r="G8" s="18" t="inlineStr">
        <s:is>
          <s:t>S0-A01</s:t>
        </s:is>
      </s:c>
      <s:c r="H8" s="18" t="inlineStr">
        <s:is>
          <s:t>P0</s:t>
        </s:is>
      </s:c>
      <s:c r="I8" s="18" t="inlineStr">
        <s:is>
          <s:t>Programmer A</s:t>
        </s:is>
      </s:c>
      <s:c r="J8" s="18" t="inlineStr">
        <s:is>
          <s:t>Programmer B</s:t>
        </s:is>
      </s:c>
      <s:c r="K8" s="18" t="n">
        <s:v>8</s:v>
      </s:c>
      <s:c r="L8" s="28" t="inlineStr">
        <s:is>
          <s:t>In Review</s:t>
        </s:is>
      </s:c>
      <s:c r="M8" s="13" t="inlineStr">
        <s:is>
          <s:t>PostgreSQL empty-database reset + migration/runtime role smoke</s:t>
        </s:is>
      </s:c>
      <s:c r="N8" s="18" t="inlineStr">
        <s:is>
          <s:t>RG-01</s:t>
        </s:is>
      </s:c>
      <s:c r="O8" s="13" t="inlineStr">
        <s:is>
          <s:t>Environment isolation; secret handling.</s:t>
        </s:is>
      </s:c>
      <s:c r="P8" s="18" t="inlineStr">
        <s:is>
          <s:t>Docker/ migrations + role provisioning + deploy runbook</s:t>
        </s:is>
      </s:c>
      <s:c r="Q8" s="14">
        <s:f>INDEX('01_ROADMAP'!$C$5:$C$15,MATCH(B8,'01_ROADMAP'!$A$5:$A$15,0))</s:f>
        <s:v>46272.0</s:v>
      </s:c>
      <s:c r="R8" s="14">
        <s:f>INDEX('01_ROADMAP'!$D$5:$D$15,MATCH(B8,'01_ROADMAP'!$A$5:$A$15,0))</s:f>
        <s:v>46285.0</s:v>
      </s:c>
      <s:c r="S8" s="29" t="inlineStr">
        <s:is>
          <s:t>docs/backlog-deep-audit-2026-09-07.json#S0-A04</s:t>
        </s:is>
      </s:c>
      <s:c r="T8" s="13" t="inlineStr">
        <s:is>
          <s:t>DATABASE</s:t>
        </s:is>
      </s:c>
      <s:c r="U8" s="13" t="inlineStr">
        <s:is>
          <s:t>Platform</s:t>
        </s:is>
      </s:c>
      <s:c r="V8" s="13" t="inlineStr">
        <s:is>
          <s:t>GA</s:t>
        </s:is>
      </s:c>
      <s:c r="W8" s="13" t="inlineStr">
        <s:is>
          <s:t>N/A / API-domain contract consumed by frontend where applicable.</s:t>
        </s:is>
      </s:c>
      <s:c r="X8" s="13" t="inlineStr">
        <s:is>
          <s:t>Acceptance Criteria + Test Evidence + Release Gate</s:t>
        </s:is>
      </s:c>
      <s:c r="Y8" s="54" t="inlineStr">
        <s:is>
          <s:t>Implementuar — në pranim</s:t>
        </s:is>
      </s:c>
      <s:c r="Z8" s="56" t="inlineStr">
        <s:is>
          <s:t>PostgreSQL në Docker, migrime SQL me checksum/transaksion/advisory lock, target i veçantë migrimi dhe rol runtime pa DDL.
Klasifikimi 2026-09-08: PostgreSQL reset/migrimet dhe rolet migration/runtime janë implementuar e provuar; pret staging/RG-01.</s:t>
        </s:is>
      </s:c>
      <s:c r="AA8" s="56" t="inlineStr">
        <s:is>
          <s:t>Ekzekuto migration dry-run në staging me role të ndara dhe regjistro RG-01; kjo kërkon mjedisin e hostuar.</s:t>
        </s:is>
      </s:c>
      <s:c r="AB8" s="56" t="inlineStr">
        <s:is>
          <s:t>Prova e kërkuar: empty-database migration smoke, runtime DDL-deny, staging dry-run dhe RG-01.</s:t>
        </s:is>
      </s:c>
      <s:c r="AC8" s="56" t="inlineStr">
        <s:is>
          <s:t>hq-deep-audit-unit.log: schema testuese PostgreSQL nga migrimet, JPEG decode/EXIF, ownership checks, token encryption/transport dhe signed media. Nuk është RLS/ASVS/Meta OAuth acceptance e plotë.
Validimi 2026-09-08: target-i migrations aplikoi migrimet 0001–0013 mbi databazën e përkohshme rrit_migration_smoke nga zero dhe u verifikuan 13 rreshta në schema_migrations. Staging dry-run mbetet.
Validimi 2026-09-08: target-i migrations aplikoi migrimet 0001–0013 mbi databazën e përkohshme rrit_migration_smoke nga zero dhe u verifikuan 13 rreshta në schema_migrations. Roli runtime lexoi skemën dhe kaloi 8/8 E2E, ndërsa CREATE TABLE u refuzua me permission denied. Staging dry-run mbetet.
Validimi 2026-09-08: target-i migrations aplikoi migrimet 0001–0015 dhe migrimet u provuan nga zero në skemën e izoluar të integration suite. Roli runtime lexoi skemën dhe kaloi 8/8 E2E, ndërsa CREATE TABLE u refuzua me permission denied. Staging dry-run mbetet.
Validimi 2026-09-08: target-i migrations aplikoi migrimet 0001–0017 dhe migrimet u provuan nga zero në skemën e izoluar të integration suite. Roli runtime lexoi skemën dhe kaloi 8/8 E2E, ndërsa CREATE TABLE u refuzua me permission denied. Staging dry-run mbetet.</s:t>
        </s:is>
      </s:c>
      <s:c r="AD8" s="56" t="inlineStr">
        <s:is>
          <s:t>compose.yaml
apps/web/scripts/migrate.mjs
apps/web/database/migrations
apps/web/tests/integration/server.test.ts
Dockerfile; compose.yaml; apps/web/scripts/migrate.mjs; apps/web/database/migrations; docs/DEPLOYMENT.md
Dockerfile; compose.yaml; infra/postgres/provision-runtime.sh; scripts/setup-local.mjs; apps/web/scripts/migrate.mjs; apps/web/database/migrations; docs/DEPLOYMENT.md</s:t>
        </s:is>
      </s:c>
      <s:c r="AE8" s="42" t="inlineStr">
        <s:is>
          <s:t>Kryer në kod — pret pranim/gate</s:t>
        </s:is>
      </s:c>
      <s:c r="AF8" s="42" t="inlineStr">
        <s:is>
          <s:t>Jo për scope-in e rreshtit</s:t>
        </s:is>
      </s:c>
      <s:c r="AG8" s="42" t="inlineStr">
        <s:is>
          <s:t>Po</s:t>
        </s:is>
      </s:c>
      <s:c r="AH8" s="42" t="inlineStr">
        <s:is>
          <s:t>Ekzekuto migration dry-run në staging me role të ndara dhe regjistro RG-01; kjo kërkon mjedisin e hostuar.</s:t>
        </s:is>
      </s:c>
      <s:c r="AI8" s="42" t="inlineStr">
        <s:is>
          <s:t>docs/backlog-code-handoff-2026-09-08.json#S0-A04</s:t>
        </s:is>
      </s:c>
      <s:c r="AJ8" s="42" t="inlineStr">
        <s:is>
          <s:t>Programmer A / review: Programmer B</s:t>
        </s:is>
      </s:c>
    </s:row>
    <s:row r="9" ht="155.1" customHeight="1" s="48">
      <s:c r="A9" s="17" t="inlineStr">
        <s:is>
          <s:t>S0-A05</s:t>
        </s:is>
      </s:c>
      <s:c r="B9" s="18" t="inlineStr">
        <s:is>
          <s:t>S0</s:t>
        </s:is>
      </s:c>
      <s:c r="C9" s="18" t="inlineStr">
        <s:is>
          <s:t>Tenancy</s:t>
        </s:is>
      </s:c>
      <s:c r="D9" s="12" t="inlineStr">
        <s:is>
          <s:t>Implement tenant DB context and RLS helpers</s:t>
        </s:is>
      </s:c>
      <s:c r="E9" s="13" t="inlineStr">
        <s:is>
          <s:t>Create app_runtime role approach, transaction-scoped app.user_id/app.organization_id context and reusable RLS policy helpers.</s:t>
        </s:is>
      </s:c>
      <s:c r="F9" s="13" t="inlineStr">
        <s:is>
          <s:t>Cross-tenant query denied under runtime role; missing tenant context returns no tenant rows/fails safely.</s:t>
        </s:is>
      </s:c>
      <s:c r="G9" s="18" t="inlineStr">
        <s:is>
          <s:t>S0-A04</s:t>
        </s:is>
      </s:c>
      <s:c r="H9" s="18" t="inlineStr">
        <s:is>
          <s:t>P0</s:t>
        </s:is>
      </s:c>
      <s:c r="I9" s="18" t="inlineStr">
        <s:is>
          <s:t>Programmer A</s:t>
        </s:is>
      </s:c>
      <s:c r="J9" s="18" t="inlineStr">
        <s:is>
          <s:t>Programmer B</s:t>
        </s:is>
      </s:c>
      <s:c r="K9" s="18" t="n">
        <s:v>10</s:v>
      </s:c>
      <s:c r="L9" s="30" t="inlineStr">
        <s:is>
          <s:t>Not Started</s:t>
        </s:is>
      </s:c>
      <s:c r="M9" s="13" t="inlineStr">
        <s:is>
          <s:t>SQL integration negative tests</s:t>
        </s:is>
      </s:c>
      <s:c r="N9" s="18" t="inlineStr">
        <s:is>
          <s:t>RG-02</s:t>
        </s:is>
      </s:c>
      <s:c r="O9" s="13" t="inlineStr">
        <s:is>
          <s:t>Core tenant isolation boundary.</s:t>
        </s:is>
      </s:c>
      <s:c r="P9" s="18" t="inlineStr">
        <s:is>
          <s:t>RLS helper migration/tests</s:t>
        </s:is>
      </s:c>
      <s:c r="Q9" s="14">
        <s:f>INDEX('01_ROADMAP'!$C$5:$C$15,MATCH(B9,'01_ROADMAP'!$A$5:$A$15,0))</s:f>
        <s:v>46272.0</s:v>
      </s:c>
      <s:c r="R9" s="14">
        <s:f>INDEX('01_ROADMAP'!$D$5:$D$15,MATCH(B9,'01_ROADMAP'!$A$5:$A$15,0))</s:f>
        <s:v>46285.0</s:v>
      </s:c>
      <s:c r="S9" s="29" t="inlineStr">
        <s:is>
          <s:t>docs/backlog-deep-audit-2026-09-07.json#S0-A05</s:t>
        </s:is>
      </s:c>
      <s:c r="T9" s="13" t="inlineStr">
        <s:is>
          <s:t>FRONTEND</s:t>
        </s:is>
      </s:c>
      <s:c r="U9" s="13" t="inlineStr">
        <s:is>
          <s:t>Platform</s:t>
        </s:is>
      </s:c>
      <s:c r="V9" s="13" t="inlineStr">
        <s:is>
          <s:t>GA</s:t>
        </s:is>
      </s:c>
      <s:c r="W9" s="13" t="inlineStr">
        <s:is>
          <s:t>N/A / API-domain contract consumed by frontend where applicable.</s:t>
        </s:is>
      </s:c>
      <s:c r="X9" s="13" t="inlineStr">
        <s:is>
          <s:t>Acceptance Criteria + Test Evidence + Release Gate</s:t>
        </s:is>
      </s:c>
      <s:c r="Y9" s="57" t="inlineStr">
        <s:is>
          <s:t>Pa filluar</s:t>
        </s:is>
      </s:c>
      <s:c r="Z9" s="55" t="inlineStr">
        <s:is>
          <s:t>Izolimi aktual bëhet me owner_id/business_id në query-t e aplikacionit.</s:t>
        </s:is>
      </s:c>
      <s:c r="AA9" s="55" t="inlineStr">
        <s:is>
          <s:t>1. Krijo rol runtime pa privilegje të migrimit dhe tenant context për transaksion; aktivizo RLS/policies në çdo tabelë tenant. Provo mungesën e context-it dhe cross-tenant read/write/delete.</s:t>
        </s:is>
      </s:c>
      <s:c r="AB9" s="55" t="inlineStr">
        <s:is>
          <s:t>Prova e kërkuar nga backlog-u: SQL integration negative tests
Kriteri për t'u verifikuar (nuk deklarohet i kaluar): Cross-tenant query denied under runtime role; missing tenant context returns no tenant rows/fails safely.
Pranimi kërkon edhe gate-et: RG-02. Asnjë gate nuk është shënuar Passed nga ky audit.</s:t>
        </s:is>
      </s:c>
      <s:c r="AC9" s="55" t="inlineStr">
        <s:is>
          <s:t>U rishikuan kodi/artefaktet dhe u kërkua implementimi i kësaj detyre. Nuk ka provë të ekzekutuar specifike që mbyll të gjithë kriterin; kontrollet globale nuk e zëvendësojnë atë.</s:t>
        </s:is>
      </s:c>
      <s:c r="AD9" s="55" t="inlineStr">
        <s:is>
          <s:t>apps/web/server/utils/workspaces.ts
apps/web/database/migrations</s:t>
        </s:is>
      </s:c>
      <s:c r="AE9" s="42" t="inlineStr">
        <s:is>
          <s:t>Pa filluar</s:t>
        </s:is>
      </s:c>
      <s:c r="AF9" s="42" t="inlineStr">
        <s:is>
          <s:t>Po</s:t>
        </s:is>
      </s:c>
      <s:c r="AG9" s="42" t="inlineStr">
        <s:is>
          <s:t>Po, pas implementimit</s:t>
        </s:is>
      </s:c>
      <s:c r="AH9" s="42" t="inlineStr">
        <s:is>
          <s:t>Krijo rol runtime pa privilegje të migrimit dhe tenant context për transaksion; aktivizo RLS/policies në çdo tabelë tenant. Provo mungesën e context-it dhe cross-tenant read/write/delete.</s:t>
        </s:is>
      </s:c>
      <s:c r="AI9" s="42" t="inlineStr">
        <s:is>
          <s:t>docs/backlog-code-handoff-2026-09-08.json#S0-A05</s:t>
        </s:is>
      </s:c>
      <s:c r="AJ9" s="42" t="inlineStr">
        <s:is>
          <s:t>Programmer A / review: Programmer B</s:t>
        </s:is>
      </s:c>
    </s:row>
    <s:row r="10" ht="155.1" customHeight="1" s="48">
      <s:c r="A10" s="17" t="inlineStr">
        <s:is>
          <s:t>S0-A06</s:t>
        </s:is>
      </s:c>
      <s:c r="B10" s="18" t="inlineStr">
        <s:is>
          <s:t>S0</s:t>
        </s:is>
      </s:c>
      <s:c r="C10" s="18" t="inlineStr">
        <s:is>
          <s:t>Tenancy</s:t>
        </s:is>
      </s:c>
      <s:c r="D10" s="12" t="inlineStr">
        <s:is>
          <s:t>Build RLS CI test harness</s:t>
        </s:is>
      </s:c>
      <s:c r="E10" s="13" t="inlineStr">
        <s:is>
          <s:t>Create fixtures for Org A/B/users and reusable allow/deny assertions; make RLS suite required in CI.</s:t>
        </s:is>
      </s:c>
      <s:c r="F10" s="13" t="inlineStr">
        <s:is>
          <s:t>Representative read/write/delete cross-tenant tests fail before policy and pass after; CI blocks regression.</s:t>
        </s:is>
      </s:c>
      <s:c r="G10" s="18" t="inlineStr">
        <s:is>
          <s:t>S0-A05</s:t>
        </s:is>
      </s:c>
      <s:c r="H10" s="18" t="inlineStr">
        <s:is>
          <s:t>P0</s:t>
        </s:is>
      </s:c>
      <s:c r="I10" s="18" t="inlineStr">
        <s:is>
          <s:t>Programmer A</s:t>
        </s:is>
      </s:c>
      <s:c r="J10" s="18" t="inlineStr">
        <s:is>
          <s:t>Programmer B</s:t>
        </s:is>
      </s:c>
      <s:c r="K10" s="18" t="n">
        <s:v>8</s:v>
      </s:c>
      <s:c r="L10" s="30" t="inlineStr">
        <s:is>
          <s:t>Not Started</s:t>
        </s:is>
      </s:c>
      <s:c r="M10" s="13" t="inlineStr">
        <s:is>
          <s:t>pytest DB/RLS suite</s:t>
        </s:is>
      </s:c>
      <s:c r="N10" s="18" t="inlineStr">
        <s:is>
          <s:t>RG-02</s:t>
        </s:is>
      </s:c>
      <s:c r="O10" s="13" t="inlineStr">
        <s:is>
          <s:t>Automated isolation verification.</s:t>
        </s:is>
      </s:c>
      <s:c r="P10" s="18" t="inlineStr">
        <s:is>
          <s:t>tests/security/rls</s:t>
        </s:is>
      </s:c>
      <s:c r="Q10" s="14">
        <s:f>INDEX('01_ROADMAP'!$C$5:$C$15,MATCH(B10,'01_ROADMAP'!$A$5:$A$15,0))</s:f>
        <s:v>46272.0</s:v>
      </s:c>
      <s:c r="R10" s="14">
        <s:f>INDEX('01_ROADMAP'!$D$5:$D$15,MATCH(B10,'01_ROADMAP'!$A$5:$A$15,0))</s:f>
        <s:v>46285.0</s:v>
      </s:c>
      <s:c r="S10" s="29" t="inlineStr">
        <s:is>
          <s:t>docs/backlog-deep-audit-2026-09-07.json#S0-A06</s:t>
        </s:is>
      </s:c>
      <s:c r="T10" s="13" t="inlineStr">
        <s:is>
          <s:t>DATABASE</s:t>
        </s:is>
      </s:c>
      <s:c r="U10" s="13" t="inlineStr">
        <s:is>
          <s:t>Platform</s:t>
        </s:is>
      </s:c>
      <s:c r="V10" s="13" t="inlineStr">
        <s:is>
          <s:t>GA</s:t>
        </s:is>
      </s:c>
      <s:c r="W10" s="13" t="inlineStr">
        <s:is>
          <s:t>N/A / API-domain contract consumed by frontend where applicable.</s:t>
        </s:is>
      </s:c>
      <s:c r="X10" s="13" t="inlineStr">
        <s:is>
          <s:t>Acceptance Criteria + Test Evidence + Release Gate</s:t>
        </s:is>
      </s:c>
      <s:c r="Y10" s="57" t="inlineStr">
        <s:is>
          <s:t>Pa filluar</s:t>
        </s:is>
      </s:c>
      <s:c r="Z10" s="56" t="inlineStr">
        <s:is>
          <s:t>Izolimi aktual bëhet me owner_id/business_id në query-t e aplikacionit.</s:t>
        </s:is>
      </s:c>
      <s:c r="AA10" s="56" t="inlineStr">
        <s:is>
          <s:t>1. Ndërto fixture Org A/B dhe helper allow/deny nën rolin runtime; lidhe suite RLS me required CI. Hiq një policy qëllimisht dhe provo se CI dështon.</s:t>
        </s:is>
      </s:c>
      <s:c r="AB10" s="56" t="inlineStr">
        <s:is>
          <s:t>Prova e kërkuar nga backlog-u: pytest DB/RLS suite
Kriteri për t'u verifikuar (nuk deklarohet i kaluar): Representative read/write/delete cross-tenant tests fail before policy and pass after; CI blocks regression.
Pranimi kërkon edhe gate-et: RG-02. Asnjë gate nuk është shënuar Passed nga ky audit.</s:t>
        </s:is>
      </s:c>
      <s:c r="AC10" s="56" t="inlineStr">
        <s:is>
          <s:t>U rishikuan kodi/artefaktet dhe u kërkua implementimi i kësaj detyre. Nuk ka provë të ekzekutuar specifike që mbyll të gjithë kriterin; kontrollet globale nuk e zëvendësojnë atë.</s:t>
        </s:is>
      </s:c>
      <s:c r="AD10" s="56" t="inlineStr">
        <s:is>
          <s:t>apps/web/server/utils/workspaces.ts
apps/web/database/migrations</s:t>
        </s:is>
      </s:c>
      <s:c r="AE10" s="42" t="inlineStr">
        <s:is>
          <s:t>Pa filluar</s:t>
        </s:is>
      </s:c>
      <s:c r="AF10" s="42" t="inlineStr">
        <s:is>
          <s:t>Po</s:t>
        </s:is>
      </s:c>
      <s:c r="AG10" s="42" t="inlineStr">
        <s:is>
          <s:t>Po, pas implementimit</s:t>
        </s:is>
      </s:c>
      <s:c r="AH10" s="42" t="inlineStr">
        <s:is>
          <s:t>Ndërto fixture Org A/B dhe helper allow/deny nën rolin runtime; lidhe suite RLS me required CI. Hiq një policy qëllimisht dhe provo se CI dështon.</s:t>
        </s:is>
      </s:c>
      <s:c r="AI10" s="42" t="inlineStr">
        <s:is>
          <s:t>docs/backlog-code-handoff-2026-09-08.json#S0-A06</s:t>
        </s:is>
      </s:c>
      <s:c r="AJ10" s="42" t="inlineStr">
        <s:is>
          <s:t>Programmer A / review: Programmer B</s:t>
        </s:is>
      </s:c>
    </s:row>
    <s:row r="11" ht="155.1" customHeight="1" s="48">
      <s:c r="A11" s="17" t="inlineStr">
        <s:is>
          <s:t>S0-A07</s:t>
        </s:is>
      </s:c>
      <s:c r="B11" s="18" t="inlineStr">
        <s:is>
          <s:t>S0</s:t>
        </s:is>
      </s:c>
      <s:c r="C11" s="18" t="inlineStr">
        <s:is>
          <s:t>Authentication</s:t>
        </s:is>
      </s:c>
      <s:c r="D11" s="12" t="inlineStr">
        <s:is>
          <s:t>Verify Better Auth sessions in Nitro</s:t>
        </s:is>
      </s:c>
      <s:c r="E11" s="13" t="inlineStr">
        <s:is>
          <s:t>Validate opaque database sessions through Better Auth on every protected Nitro endpoint; enforce expiry, revocation, forged-cookie rejection and exact-origin checks for mutations.</s:t>
        </s:is>
      </s:c>
      <s:c r="F11" s="13" t="inlineStr">
        <s:is>
          <s:t>Valid session accepted; expired, revoked and forged session rejected with AUTH_REQUIRED; untrusted mutation origin rejected with ORIGIN_REJECTED.</s:t>
        </s:is>
      </s:c>
      <s:c r="G11" s="18" t="inlineStr">
        <s:is>
          <s:t>S0-A02,S0-A04</s:t>
        </s:is>
      </s:c>
      <s:c r="H11" s="18" t="inlineStr">
        <s:is>
          <s:t>P0</s:t>
        </s:is>
      </s:c>
      <s:c r="I11" s="18" t="inlineStr">
        <s:is>
          <s:t>Programmer A</s:t>
        </s:is>
      </s:c>
      <s:c r="J11" s="18" t="inlineStr">
        <s:is>
          <s:t>Programmer B</s:t>
        </s:is>
      </s:c>
      <s:c r="K11" s="18" t="n">
        <s:v>8</s:v>
      </s:c>
      <s:c r="L11" s="28" t="inlineStr">
        <s:is>
          <s:t>In Review</s:t>
        </s:is>
      </s:c>
      <s:c r="M11" s="13" t="inlineStr">
        <s:is>
          <s:t>Production-container auth session E2E</s:t>
        </s:is>
      </s:c>
      <s:c r="N11" s="18" t="inlineStr">
        <s:is>
          <s:t>RG-03</s:t>
        </s:is>
      </s:c>
      <s:c r="O11" s="13" t="inlineStr">
        <s:is>
          <s:t>No token body logged.</s:t>
        </s:is>
      </s:c>
      <s:c r="P11" s="18" t="inlineStr">
        <s:is>
          <s:t>Central session/origin guard + auth acceptance suite</s:t>
        </s:is>
      </s:c>
      <s:c r="Q11" s="14">
        <s:f>INDEX('01_ROADMAP'!$C$5:$C$15,MATCH(B11,'01_ROADMAP'!$A$5:$A$15,0))</s:f>
        <s:v>46272.0</s:v>
      </s:c>
      <s:c r="R11" s="14">
        <s:f>INDEX('01_ROADMAP'!$D$5:$D$15,MATCH(B11,'01_ROADMAP'!$A$5:$A$15,0))</s:f>
        <s:v>46285.0</s:v>
      </s:c>
      <s:c r="S11" s="29" t="inlineStr">
        <s:is>
          <s:t>docs/backlog-deep-audit-2026-09-07.json#S0-A07</s:t>
        </s:is>
      </s:c>
      <s:c r="T11" s="13" t="inlineStr">
        <s:is>
          <s:t>SECURITY</s:t>
        </s:is>
      </s:c>
      <s:c r="U11" s="13" t="inlineStr">
        <s:is>
          <s:t>Auth</s:t>
        </s:is>
      </s:c>
      <s:c r="V11" s="13" t="inlineStr">
        <s:is>
          <s:t>GA</s:t>
        </s:is>
      </s:c>
      <s:c r="W11" s="13" t="inlineStr">
        <s:is>
          <s:t>N/A / API-domain contract consumed by frontend where applicable.</s:t>
        </s:is>
      </s:c>
      <s:c r="X11" s="13" t="inlineStr">
        <s:is>
          <s:t>Acceptance Criteria + Test Evidence + Release Gate</s:t>
        </s:is>
      </s:c>
      <s:c r="Y11" s="54" t="inlineStr">
        <s:is>
          <s:t>Implementuar — në pranim</s:t>
        </s:is>
      </s:c>
      <s:c r="Z11" s="55" t="inlineStr">
        <s:is>
          <s:t>Better Auth me sessione opaque në PostgreSQL, cookie cache të çaktivizuar, skadim 7-ditor, revokim pas logout/reset dhe guard i përbashkët për API-të.
Klasifikimi 2026-09-08: Better Auth session guard pranon sesionin valid dhe refuzon forged/revoked/expired me kode stabile; pret RG-03.</s:t>
        </s:is>
      </s:c>
      <s:c r="AA11" s="55" t="inlineStr">
        <s:is>
          <s:t>Ekzekuto suite-n në hosted CI/public staging dhe regjistro security review/RG-03.</s:t>
        </s:is>
      </s:c>
      <s:c r="AB11" s="55" t="inlineStr">
        <s:is>
          <s:t>Prova e kërkuar: valid/forged/revoked/expired session E2E, origin rejection dhe RG-03.</s:t>
        </s:is>
      </s:c>
      <s:c r="AC11" s="55" t="inlineStr">
        <s:is>
          <s:t>U rishikuan kodi/artefaktet dhe u kërkua implementimi i kësaj detyre. Nuk ka provë të ekzekutuar specifike që mbyll të gjithë kriterin; kontrollet globale nuk e zëvendësojnë atë.
Validimi 2026-09-08: E2E mbi container-in production provoi sesion valid, cookie të falsifikuar, logout/revokim dhe expiresAt të kaluar; përgjigjja e mbrojtur ktheu AUTH_REQUIRED. Origin-i i huaj u refuzua me ORIGIN_REJECTED.</s:t>
        </s:is>
      </s:c>
      <s:c r="AD11" s="55" t="inlineStr">
        <s:is>
          <s:t>apps/web/server/utils/auth.ts
apps/web/server/utils/access.ts
apps/web/tests/e2e/local-registration.spec.ts
apps/web/server/utils/auth.ts; apps/web/server/utils/access.ts; apps/web/server/utils/auth-configuration.ts; apps/web/tests/e2e/auth-session.spec.ts; apps/web/tests/e2e/local-registration.spec.ts</s:t>
        </s:is>
      </s:c>
      <s:c r="AE11" s="42" t="inlineStr">
        <s:is>
          <s:t>Kryer në kod — pret pranim/gate</s:t>
        </s:is>
      </s:c>
      <s:c r="AF11" s="42" t="inlineStr">
        <s:is>
          <s:t>Jo për scope-in e rreshtit</s:t>
        </s:is>
      </s:c>
      <s:c r="AG11" s="42" t="inlineStr">
        <s:is>
          <s:t>Po</s:t>
        </s:is>
      </s:c>
      <s:c r="AH11" s="42" t="inlineStr">
        <s:is>
          <s:t>Ekzekuto suite-n në hosted CI/public staging dhe regjistro security review/RG-03.</s:t>
        </s:is>
      </s:c>
      <s:c r="AI11" s="42" t="inlineStr">
        <s:is>
          <s:t>docs/backlog-code-handoff-2026-09-08.json#S0-A07</s:t>
        </s:is>
      </s:c>
      <s:c r="AJ11" s="42" t="inlineStr">
        <s:is>
          <s:t>Programmer A / review: Programmer B</s:t>
        </s:is>
      </s:c>
    </s:row>
    <s:row r="12" ht="155.1" customHeight="1" s="48">
      <s:c r="A12" s="17" t="inlineStr">
        <s:is>
          <s:t>S0-A08</s:t>
        </s:is>
      </s:c>
      <s:c r="B12" s="18" t="inlineStr">
        <s:is>
          <s:t>S0</s:t>
        </s:is>
      </s:c>
      <s:c r="C12" s="18" t="inlineStr">
        <s:is>
          <s:t>Async Platform</s:t>
        </s:is>
      </s:c>
      <s:c r="D12" s="12" t="inlineStr">
        <s:is>
          <s:t>Create durable queue/outbox skeleton</s:t>
        </s:is>
      </s:c>
      <s:c r="E12" s="13" t="inlineStr">
        <s:is>
          <s:t>Enable Supabase Queues/pgmq locally, define JobEnvelope, outbox table and generic idempotent consumer base.</s:t>
        </s:is>
      </s:c>
      <s:c r="F12" s="13" t="inlineStr">
        <s:is>
          <s:t>Test event commits with outbox; dispatcher enqueues; worker consumes once logically under duplicate delivery.</s:t>
        </s:is>
      </s:c>
      <s:c r="G12" s="18" t="inlineStr">
        <s:is>
          <s:t>S0-A04</s:t>
        </s:is>
      </s:c>
      <s:c r="H12" s="18" t="inlineStr">
        <s:is>
          <s:t>P0</s:t>
        </s:is>
      </s:c>
      <s:c r="I12" s="18" t="inlineStr">
        <s:is>
          <s:t>Programmer A</s:t>
        </s:is>
      </s:c>
      <s:c r="J12" s="18" t="inlineStr">
        <s:is>
          <s:t>Programmer B</s:t>
        </s:is>
      </s:c>
      <s:c r="K12" s="18" t="n">
        <s:v>10</s:v>
      </s:c>
      <s:c r="L12" s="28" t="inlineStr">
        <s:is>
          <s:t>In Review</s:t>
        </s:is>
      </s:c>
      <s:c r="M12" s="13" t="inlineStr">
        <s:is>
          <s:t>queue duplicate/crash tests</s:t>
        </s:is>
      </s:c>
      <s:c r="N12" s="18" t="inlineStr">
        <s:is>
          <s:t>RG-01</s:t>
        </s:is>
      </s:c>
      <s:c r="O12" s="13" t="inlineStr">
        <s:is>
          <s:t>Queue not exposed to browser.</s:t>
        </s:is>
      </s:c>
      <s:c r="P12" s="18" t="inlineStr">
        <s:is>
          <s:t>queue/outbox framework</s:t>
        </s:is>
      </s:c>
      <s:c r="Q12" s="14">
        <s:f>INDEX('01_ROADMAP'!$C$5:$C$15,MATCH(B12,'01_ROADMAP'!$A$5:$A$15,0))</s:f>
        <s:v>46272.0</s:v>
      </s:c>
      <s:c r="R12" s="14">
        <s:f>INDEX('01_ROADMAP'!$D$5:$D$15,MATCH(B12,'01_ROADMAP'!$A$5:$A$15,0))</s:f>
        <s:v>46285.0</s:v>
      </s:c>
      <s:c r="S12" s="29" t="inlineStr">
        <s:is>
          <s:t>docs/backlog-deep-audit-2026-09-07.json#S0-A08</s:t>
        </s:is>
      </s:c>
      <s:c r="T12" s="13" t="inlineStr">
        <s:is>
          <s:t>SETUP/PLATFORM</s:t>
        </s:is>
      </s:c>
      <s:c r="U12" s="13" t="inlineStr">
        <s:is>
          <s:t>Platform</s:t>
        </s:is>
      </s:c>
      <s:c r="V12" s="13" t="inlineStr">
        <s:is>
          <s:t>GA</s:t>
        </s:is>
      </s:c>
      <s:c r="W12" s="13" t="inlineStr">
        <s:is>
          <s:t>N/A / API-domain contract consumed by frontend where applicable.</s:t>
        </s:is>
      </s:c>
      <s:c r="X12" s="13" t="inlineStr">
        <s:is>
          <s:t>Acceptance Criteria + Test Evidence + Release Gate</s:t>
        </s:is>
      </s:c>
      <s:c r="Y12" s="54" t="inlineStr">
        <s:is>
          <s:t>Implementuar — në pranim</s:t>
        </s:is>
      </s:c>
      <s:c r="Z12" s="56" t="inlineStr">
        <s:is>
          <s:t>Outbox PostgreSQL me envelope/version/dedupe, claim FOR UPDATE SKIP LOCKED, lease recovery, receipt të konsumit dhe transaksion të njëjtë për efektet DB.
Klasifikimi 2026-09-08: Outbox-i transaksional, claim me lease/SKIP LOCKED, deduplication dhe crash recovery janë implementuar; pret RG-01.</s:t>
        </s:is>
      </s:c>
      <s:c r="AA12" s="56" t="inlineStr">
        <s:is>
          <s:t>Ekzekuto hosted CI/container failure rehearsal dhe regjistro RG-01; adapterët me side-effect të jashtëm vazhdojnë të përdorin idempotency/reconciliation specifik.</s:t>
        </s:is>
      </s:c>
      <s:c r="AB12" s="56" t="inlineStr">
        <s:is>
          <s:t>Prova e kërkuar: queue duplicate/crash/concurrency tests, container smoke dhe RG-01.</s:t>
        </s:is>
      </s:c>
      <s:c r="AC12" s="56" t="inlineStr">
        <s:is>
          <s:t>U rishikuan kodi/artefaktet dhe u kërkua implementimi i kësaj detyre. Nuk ka provë të ekzekutuar specifike që mbyll të gjithë kriterin; kontrollet globale nuk e zëvendësojnë atë.
Validimi 2026-09-08: migrimi 0014 krijoi JobEnvelope/outbox receipts; testet provuan commit/rollback atomik, dedupe, dy consumer-a paralelë me vetëm një efekt dhe rikuperim të claim-it stale. Readiness production kërkon migrimin 0014.
Validimi 2026-09-08: migrimi 0014 krijoi JobEnvelope/outbox receipts; testet provuan commit/rollback atomik, dedupe, dy consumer-a paralelë me vetëm një efekt dhe rikuperim të claim-it stale. Readiness production kërkon migrimin minimal aktual 0015.
Validimi 2026-09-08: migrimi 0014 krijoi JobEnvelope/outbox receipts; testet provuan commit/rollback atomik, dedupe, dy consumer-a paralelë me vetëm një efekt dhe rikuperim të claim-it stale. Readiness production kërkon migrimin minimal aktual 0017.</s:t>
        </s:is>
      </s:c>
      <s:c r="AD12" s="56" t="inlineStr">
        <s:is>
          <s:t>apps/web/database/migrations/0004_trials_and_social.sql
apps/web/server/utils/publishing.ts
apps/web/database/migrations/0014_durable_outbox.sql; apps/web/server/utils/outbox.ts; apps/web/tests/integration/server.test.ts; apps/web/server/api/health/ready.get.ts</s:t>
        </s:is>
      </s:c>
      <s:c r="AE12" s="42" t="inlineStr">
        <s:is>
          <s:t>Kryer në kod — pret pranim/gate</s:t>
        </s:is>
      </s:c>
      <s:c r="AF12" s="42" t="inlineStr">
        <s:is>
          <s:t>Jo për scope-in e rreshtit</s:t>
        </s:is>
      </s:c>
      <s:c r="AG12" s="42" t="inlineStr">
        <s:is>
          <s:t>Po</s:t>
        </s:is>
      </s:c>
      <s:c r="AH12" s="42" t="inlineStr">
        <s:is>
          <s:t>Ekzekuto hosted CI/container failure rehearsal dhe regjistro RG-01; adapterët me side-effect të jashtëm vazhdojnë të përdorin idempotency/reconciliation specifik.</s:t>
        </s:is>
      </s:c>
      <s:c r="AI12" s="42" t="inlineStr">
        <s:is>
          <s:t>docs/backlog-code-handoff-2026-09-08.json#S0-A08</s:t>
        </s:is>
      </s:c>
      <s:c r="AJ12" s="42" t="inlineStr">
        <s:is>
          <s:t>Programmer A / review: Programmer B</s:t>
        </s:is>
      </s:c>
    </s:row>
    <s:row r="13" ht="180" customHeight="1" s="48">
      <s:c r="A13" s="17" t="inlineStr">
        <s:is>
          <s:t>S0-A09</s:t>
        </s:is>
      </s:c>
      <s:c r="B13" s="18" t="inlineStr">
        <s:is>
          <s:t>S0</s:t>
        </s:is>
      </s:c>
      <s:c r="C13" s="18" t="inlineStr">
        <s:is>
          <s:t>CI/CD</s:t>
        </s:is>
      </s:c>
      <s:c r="D13" s="12" t="inlineStr">
        <s:is>
          <s:t>Create backend/security CI gates</s:t>
        </s:is>
      </s:c>
      <s:c r="E13" s="13" t="inlineStr">
        <s:is>
          <s:t>Add lint, types, unit, DB reset/RLS, secret scan, dependency scan and container build jobs with caching.</s:t>
        </s:is>
      </s:c>
      <s:c r="F13" s="13" t="inlineStr">
        <s:is>
          <s:t>PR cannot merge when any gate fails; CI artifacts include test reports.</s:t>
        </s:is>
      </s:c>
      <s:c r="G13" s="18" t="inlineStr">
        <s:is>
          <s:t>S0-A03,S0-A04,S0-A06</s:t>
        </s:is>
      </s:c>
      <s:c r="H13" s="18" t="inlineStr">
        <s:is>
          <s:t>P0</s:t>
        </s:is>
      </s:c>
      <s:c r="I13" s="18" t="inlineStr">
        <s:is>
          <s:t>Programmer A</s:t>
        </s:is>
      </s:c>
      <s:c r="J13" s="18" t="inlineStr">
        <s:is>
          <s:t>Programmer B</s:t>
        </s:is>
      </s:c>
      <s:c r="K13" s="18" t="n">
        <s:v>8</s:v>
      </s:c>
      <s:c r="L13" s="28" t="inlineStr">
        <s:is>
          <s:t>In Progress</s:t>
        </s:is>
      </s:c>
      <s:c r="M13" s="13" t="inlineStr">
        <s:is>
          <s:t>Deliberate failing PR checks</s:t>
        </s:is>
      </s:c>
      <s:c r="N13" s="18" t="inlineStr">
        <s:is>
          <s:t>RG-01</s:t>
        </s:is>
      </s:c>
      <s:c r="O13" s="13" t="inlineStr">
        <s:is>
          <s:t>Secure SDLC baseline.</s:t>
        </s:is>
      </s:c>
      <s:c r="P13" s="18" t="inlineStr">
        <s:is>
          <s:t>.github/workflows backend</s:t>
        </s:is>
      </s:c>
      <s:c r="Q13" s="14">
        <s:f>INDEX('01_ROADMAP'!$C$5:$C$15,MATCH(B13,'01_ROADMAP'!$A$5:$A$15,0))</s:f>
        <s:v>46272.0</s:v>
      </s:c>
      <s:c r="R13" s="14">
        <s:f>INDEX('01_ROADMAP'!$D$5:$D$15,MATCH(B13,'01_ROADMAP'!$A$5:$A$15,0))</s:f>
        <s:v>46285.0</s:v>
      </s:c>
      <s:c r="S13" s="29" t="inlineStr">
        <s:is>
          <s:t>docs/backlog-partial-progress-2026-09-08.json#S0-A09</s:t>
        </s:is>
      </s:c>
      <s:c r="T13" s="13" t="inlineStr">
        <s:is>
          <s:t>SECURITY</s:t>
        </s:is>
      </s:c>
      <s:c r="U13" s="13" t="inlineStr">
        <s:is>
          <s:t>Security</s:t>
        </s:is>
      </s:c>
      <s:c r="V13" s="13" t="inlineStr">
        <s:is>
          <s:t>GA</s:t>
        </s:is>
      </s:c>
      <s:c r="W13" s="13" t="inlineStr">
        <s:is>
          <s:t>N/A / API-domain contract consumed by frontend where applicable.</s:t>
        </s:is>
      </s:c>
      <s:c r="X13" s="13" t="inlineStr">
        <s:is>
          <s:t>Acceptance Criteria + Test Evidence + Release Gate</s:t>
        </s:is>
      </s:c>
      <s:c r="Y13" s="54" t="inlineStr">
        <s:is>
          <s:t>Pjesërisht</s:t>
        </s:is>
      </s:c>
      <s:c r="Z13" s="55" t="inlineStr">
        <s:is>
          <s:t>CI provisionon PostgreSQL, env vetëm testues, aplikon migrimet, ndërton output-in, pret readiness, ekzekuton lint/type/unit/E2E/audit dhe ngarkon artefakte.</s:t>
        </s:is>
      </s:c>
      <s:c r="AA13" s="55" t="inlineStr">
        <s:is>
          <s:t>Mbeten run hosted, required branch checks, deliberate failing PR dhe gates RLS/secret/container. Workspace nuk ka .git, prandaj merge blocking nuk mund të provohet lokalisht.</s:t>
        </s:is>
      </s:c>
      <s:c r="AB13" s="55" t="inlineStr">
        <s:is>
          <s:t>Prova e kërkuar nga backlog-u: Deliberate failing PR checks
Kriteri për t'u verifikuar (nuk deklarohet i kaluar): PR cannot merge when any gate fails; CI artifacts include test reports.
DA-08: CI nga checkout i pastër kalon testet me DB; heqja e një guard-i e bllokon merge-in. Arkivo raportet pa sekrete.
Pranimi kërkon edhe gate-et: RG-01. Asnjë gate nuk është shënuar Passed nga ky audit.</s:t>
        </s:is>
      </s:c>
      <s:c r="AC13" s="55" t="inlineStr">
        <s:is>
          <s:t>Workflow u validua nga lint/lexim dhe konfigurimi lokal ekuivalent kaloi; hosted GitHub Actions nuk u ekzekutua.
Validimi 2026-09-08: workflow-i kaloi actionlint dhe tani ndërton/nis image-in e ngurtësuar për E2E; required-check/merge-blocking në GitHub mbetet provë e jashtme.</s:t>
        </s:is>
      </s:c>
      <s:c r="AD13" s="55" t="inlineStr">
        <s:is>
          <s:t>.github/workflows/frontend.yml
apps/web/server/api/health/ready.get.ts
.nvmrc
.github/workflows/frontend.yml; Dockerfile; docs/VALIDATION.md</s:t>
        </s:is>
      </s:c>
      <s:c r="AE13" s="42" t="inlineStr">
        <s:is>
          <s:t>Pjesërisht — kërkon zhvillim</s:t>
        </s:is>
      </s:c>
      <s:c r="AF13" s="42" t="inlineStr">
        <s:is>
          <s:t>Po</s:t>
        </s:is>
      </s:c>
      <s:c r="AG13" s="42" t="inlineStr">
        <s:is>
          <s:t>Po, pas implementimit</s:t>
        </s:is>
      </s:c>
      <s:c r="AH13" s="42" t="inlineStr">
        <s:is>
          <s:t>Mbeten run hosted, required branch checks, deliberate failing PR dhe gates RLS/secret/container. Workspace nuk ka .git, prandaj merge blocking nuk mund të provohet lokalisht.</s:t>
        </s:is>
      </s:c>
      <s:c r="AI13" s="42" t="inlineStr">
        <s:is>
          <s:t>docs/backlog-code-handoff-2026-09-08.json#S0-A09</s:t>
        </s:is>
      </s:c>
      <s:c r="AJ13" s="42" t="inlineStr">
        <s:is>
          <s:t>Programmer A / review: Programmer B</s:t>
        </s:is>
      </s:c>
    </s:row>
    <s:row r="14" ht="180" customHeight="1" s="48">
      <s:c r="A14" s="17" t="inlineStr">
        <s:is>
          <s:t>S0-B01</s:t>
        </s:is>
      </s:c>
      <s:c r="B14" s="18" t="inlineStr">
        <s:is>
          <s:t>S0</s:t>
        </s:is>
      </s:c>
      <s:c r="C14" s="18" t="inlineStr">
        <s:is>
          <s:t>Frontend</s:t>
        </s:is>
      </s:c>
      <s:c r="D14" s="12" t="inlineStr">
        <s:is>
          <s:t>Bootstrap Nuxt 4 application</s:t>
        </s:is>
      </s:c>
      <s:c r="E14" s="13" t="inlineStr">
        <s:is>
          <s:t>Bootstrap Nuxt 4.5.x on Node.js 24 LTS with strict TypeScript, current Nuxt directory structure, runtime config separation, ESLint/typecheck/test scripts and SSR-ready deployment output.</s:t>
        </s:is>
      </s:c>
      <s:c r="F14" s="13" t="inlineStr">
        <s:is>
          <s:t>Clean install/build/typecheck passes from lockfile; Node 24 LTS documented; no secret runtime config exposed client-side.</s:t>
        </s:is>
      </s:c>
      <s:c r="G14" s="18" t="inlineStr">
        <s:is>
          <s:t>S0-A01</s:t>
        </s:is>
      </s:c>
      <s:c r="H14" s="18" t="inlineStr">
        <s:is>
          <s:t>P0</s:t>
        </s:is>
      </s:c>
      <s:c r="I14" s="18" t="inlineStr">
        <s:is>
          <s:t>Programmer B</s:t>
        </s:is>
      </s:c>
      <s:c r="J14" s="18" t="inlineStr">
        <s:is>
          <s:t>Programmer A</s:t>
        </s:is>
      </s:c>
      <s:c r="K14" s="18" t="n">
        <s:v>8</s:v>
      </s:c>
      <s:c r="L14" s="28" t="inlineStr">
        <s:is>
          <s:t>In Review</s:t>
        </s:is>
      </s:c>
      <s:c r="M14" s="13" t="inlineStr">
        <s:is>
          <s:t>nuxt build + typecheck</s:t>
        </s:is>
      </s:c>
      <s:c r="N14" s="18" t="inlineStr">
        <s:is>
          <s:t>RG-01</s:t>
        </s:is>
      </s:c>
      <s:c r="O14" s="13" t="inlineStr">
        <s:is>
          <s:t>Public/private config separated.</s:t>
        </s:is>
      </s:c>
      <s:c r="P14" s="18" t="inlineStr">
        <s:is>
          <s:t>apps/web</s:t>
        </s:is>
      </s:c>
      <s:c r="Q14" s="14">
        <s:f>INDEX('01_ROADMAP'!$C$5:$C$15,MATCH(B14,'01_ROADMAP'!$A$5:$A$15,0))</s:f>
        <s:v>46272.0</s:v>
      </s:c>
      <s:c r="R14" s="14">
        <s:f>INDEX('01_ROADMAP'!$D$5:$D$15,MATCH(B14,'01_ROADMAP'!$A$5:$A$15,0))</s:f>
        <s:v>46285.0</s:v>
      </s:c>
      <s:c r="S14" s="29" t="inlineStr">
        <s:is>
          <s:t>docs/backlog-partial-progress-2026-09-08.json#S0-B01</s:t>
        </s:is>
      </s:c>
      <s:c r="T14" s="13" t="inlineStr">
        <s:is>
          <s:t>FRONTEND</s:t>
        </s:is>
      </s:c>
      <s:c r="U14" s="13" t="inlineStr">
        <s:is>
          <s:t>Platform</s:t>
        </s:is>
      </s:c>
      <s:c r="V14" s="13" t="inlineStr">
        <s:is>
          <s:t>GA</s:t>
        </s:is>
      </s:c>
      <s:c r="W14" s="13" t="inlineStr">
        <s:is>
          <s:t>See companion DOCX; use Nuxt UI primitives and shared design system for user-facing tasks.</s:t>
        </s:is>
      </s:c>
      <s:c r="X14" s="13" t="inlineStr">
        <s:is>
          <s:t>Acceptance Criteria + Test Evidence + Release Gate</s:t>
        </s:is>
      </s:c>
      <s:c r="Y14" s="54" t="inlineStr">
        <s:is>
          <s:t>Implementuar — në pranim</s:t>
        </s:is>
      </s:c>
      <s:c r="Z14" s="56" t="inlineStr">
        <s:is>
          <s:t>Nuxt 4.5.2/Nuxt UI 4.11.0 me TypeScript strict; .nvmrc tani fikson Node 24. Lint dhe app/server typecheck kalojnë dhe sekretet mbeten server-side.
Klasifikimi 2026-09-08: Nuxt/TypeScript/runtime separation është implementuar; pret clean Node 24 build/RG-01.</s:t>
        </s:is>
      </s:c>
      <s:c r="AA14" s="56" t="inlineStr">
        <s:is>
          <s:t>Duhet npm ci + production build nga checkout i pastër me Node 24 dhe RG-01. Makina e këtij auditimi po përdor Node 26.5.0.</s:t>
        </s:is>
      </s:c>
      <s:c r="AB14" s="56" t="inlineStr">
        <s:is>
          <s:t>Prova e kërkuar nga backlog-u: nuxt build + typecheck
Kriteri për t'u verifikuar (nuk deklarohet i kaluar): Clean install/build/typecheck passes from lockfile; Node 24 LTS documented; no secret runtime config exposed client-side.
Pranimi kërkon edhe gate-et: RG-01. Asnjë gate nuk është shënuar Passed nga ky audit.</s:t>
        </s:is>
      </s:c>
      <s:c r="AC14" s="56" t="inlineStr">
        <s:is>
          <s:t>ESLint exit 0; vue-tsc app exit 0; tsc server exit 0. Clean Node 24 build nuk u ekzekutua.
Validimi 2026-09-08: clean npm ci, nuxt typecheck dhe production build kaluan brenda image-it Node 24.20.0 të fiksuar me digest.</s:t>
        </s:is>
      </s:c>
      <s:c r="AD14" s="56" t="inlineStr">
        <s:is>
          <s:t>.nvmrc
apps/web/package.json
apps/web/nuxt.config.ts
hq-partials-lint-2.log
Dockerfile; .nvmrc; package-lock.json; apps/web/package.json; docs/VALIDATION.md</s:t>
        </s:is>
      </s:c>
      <s:c r="AE14" s="42" t="inlineStr">
        <s:is>
          <s:t>Kryer në kod — pret pranim/gate</s:t>
        </s:is>
      </s:c>
      <s:c r="AF14" s="42" t="inlineStr">
        <s:is>
          <s:t>Jo për scope-in e rreshtit</s:t>
        </s:is>
      </s:c>
      <s:c r="AG14" s="42" t="inlineStr">
        <s:is>
          <s:t>Po</s:t>
        </s:is>
      </s:c>
      <s:c r="AH14" s="42" t="inlineStr">
        <s:is>
          <s:t>Duhet npm ci + production build nga checkout i pastër me Node 24 dhe RG-01. Makina e këtij auditimi po përdor Node 26.5.0.</s:t>
        </s:is>
      </s:c>
      <s:c r="AI14" s="42" t="inlineStr">
        <s:is>
          <s:t>docs/backlog-code-handoff-2026-09-08.json#S0-B01</s:t>
        </s:is>
      </s:c>
      <s:c r="AJ14" s="42" t="inlineStr">
        <s:is>
          <s:t>Programmer B / review: Programmer A</s:t>
        </s:is>
      </s:c>
    </s:row>
    <s:row r="15" ht="210" customHeight="1" s="48">
      <s:c r="A15" s="17" t="inlineStr">
        <s:is>
          <s:t>S0-B02</s:t>
        </s:is>
      </s:c>
      <s:c r="B15" s="18" t="inlineStr">
        <s:is>
          <s:t>S0</s:t>
        </s:is>
      </s:c>
      <s:c r="C15" s="18" t="inlineStr">
        <s:is>
          <s:t>Design System</s:t>
        </s:is>
      </s:c>
      <s:c r="D15" s="12" t="inlineStr">
        <s:is>
          <s:t>Create visual tokens and base components</s:t>
        </s:is>
      </s:c>
      <s:c r="E15" s="13" t="inlineStr">
        <s:is>
          <s:t>Adopt Nuxt UI v4 as primary component system. Define app.config theme, semantic color/type/spacing/radius/elevation/motion tokens, light/dark variants, icon policy and branded wrappers only where needed.</s:t>
        </s:is>
      </s:c>
      <s:c r="F15" s="13" t="inlineStr">
        <s:is>
          <s:t>Tokens drive landing and dashboard; no random feature-level design constants; contrast baseline passes; dark mode has no unreadable states.</s:t>
        </s:is>
      </s:c>
      <s:c r="G15" s="18" t="inlineStr">
        <s:is>
          <s:t>S0-B01</s:t>
        </s:is>
      </s:c>
      <s:c r="H15" s="18" t="inlineStr">
        <s:is>
          <s:t>P1</s:t>
        </s:is>
      </s:c>
      <s:c r="I15" s="18" t="inlineStr">
        <s:is>
          <s:t>Programmer B</s:t>
        </s:is>
      </s:c>
      <s:c r="J15" s="18" t="inlineStr">
        <s:is>
          <s:t>Programmer A</s:t>
        </s:is>
      </s:c>
      <s:c r="K15" s="18" t="n">
        <s:v>9</s:v>
      </s:c>
      <s:c r="L15" s="28" t="inlineStr">
        <s:is>
          <s:t>In Review</s:t>
        </s:is>
      </s:c>
      <s:c r="M15" s="13" t="inlineStr">
        <s:is>
          <s:t>Vitest/component visual QA</s:t>
        </s:is>
      </s:c>
      <s:c r="N15" s="18" t="inlineStr">
        <s:is>
          <s:t>RG-14</s:t>
        </s:is>
      </s:c>
      <s:c r="O15" s="13" t="inlineStr">
        <s:is>
          <s:t>Accessible primitives reduce later regressions.</s:t>
        </s:is>
      </s:c>
      <s:c r="P15" s="18" t="inlineStr">
        <s:is>
          <s:t>packages/design or web components</s:t>
        </s:is>
      </s:c>
      <s:c r="Q15" s="14">
        <s:f>INDEX('01_ROADMAP'!$C$5:$C$15,MATCH(B15,'01_ROADMAP'!$A$5:$A$15,0))</s:f>
        <s:v>46272.0</s:v>
      </s:c>
      <s:c r="R15" s="14">
        <s:f>INDEX('01_ROADMAP'!$D$5:$D$15,MATCH(B15,'01_ROADMAP'!$A$5:$A$15,0))</s:f>
        <s:v>46285.0</s:v>
      </s:c>
      <s:c r="S15" s="29" t="inlineStr">
        <s:is>
          <s:t>docs/S0-B02-REPORT-SQ.md</s:t>
        </s:is>
      </s:c>
      <s:c r="T15" s="13" t="inlineStr">
        <s:is>
          <s:t>FRONTEND</s:t>
        </s:is>
      </s:c>
      <s:c r="U15" s="13" t="inlineStr">
        <s:is>
          <s:t>Platform</s:t>
        </s:is>
      </s:c>
      <s:c r="V15" s="13" t="inlineStr">
        <s:is>
          <s:t>GA</s:t>
        </s:is>
      </s:c>
      <s:c r="W15" s="13" t="inlineStr">
        <s:is>
          <s:t>See companion DOCX; use Nuxt UI primitives and shared design system for user-facing tasks.</s:t>
        </s:is>
      </s:c>
      <s:c r="X15" s="13" t="inlineStr">
        <s:is>
          <s:t>Acceptance Criteria + Test Evidence + Release Gate</s:t>
        </s:is>
      </s:c>
      <s:c r="Y15" s="54" t="inlineStr">
        <s:is>
          <s:t>Në review</s:t>
        </s:is>
      </s:c>
      <s:c r="Z15" s="55" t="inlineStr">
        <s:is>
          <s:t>U vendos kontrata e përbashkët `--rrit-*` për ngjyra semantike, tipografi, hapësirë, radius, hije dhe motion. Landing dhe dashboard konsumojnë tokenat e UI-së; Nuxt UI v4, Lucide dhe politika e wrapper-ave janë të dokumentuara. Light/dark tokenat dhe testet accessibility u shtuan.</s:t>
        </s:is>
      </s:c>
      <s:c r="AA15" s="55" t="inlineStr">
        <s:is>
          <s:t>Mbeten GitHub Actions në PR, review i Programmer A dhe RG-14. Testi i dashboard accessibility krijon të dhëna sintetike dhe duhet të ekzekutohet vetëm në ambient të dedikuar/CI, jo kundër Supabase v1.</s:t>
        </s:is>
      </s:c>
      <s:c r="AB15" s="55" t="inlineStr">
        <s:is>
          <s:t>Kriteri lokal i verifikuar: tokenat përdoren për UI standarde në landing dhe dashboard; light/dark accessibility baseline kalon për landing. Ilustrimet e landing-ut lejohen të mbajnë ngjyra/gradientë lokalë sepse janë art-direction, jo konstante të UI-së. RG-14 nuk është shënuar Passed.</s:t>
        </s:is>
      </s:c>
      <s:c r="AC15" s="55" t="inlineStr">
        <s:is>
          <s:t>2026-09-09: `npm.cmd run check` kaloi (toolchain, ESLint, Nuxt typecheck, 27/27 Vitest unit); `npm.cmd run build` kaloi; Playwright landing desktop kaloi 13/13 me kontroll light/dark. `git diff --check` kaloi.</s:t>
        </s:is>
      </s:c>
      <s:c r="AD15" s="55" t="inlineStr">
        <s:is>
          <s:t>apps/web/app/assets/css/main.css
apps/web/app/assets/css/landing.css
apps/web/app/utils/design-system.ts
apps/web/app/app.config.ts
apps/web/tests/unit/design-system.test.ts
apps/web/tests/e2e/accessibility-baseline.spec.ts
docs/S0-B02-REPORT-SQ.md</s:t>
        </s:is>
      </s:c>
      <s:c r="AE15" s="42" t="inlineStr">
        <s:is>
          <s:t>Në review — implementimi dhe validimi lokal u kryen; CI/review/RG-14 mbeten.</s:t>
        </s:is>
      </s:c>
      <s:c r="AF15" s="42" t="inlineStr">
        <s:is>
          <s:t>Po</s:t>
        </s:is>
      </s:c>
      <s:c r="AG15" s="42" t="inlineStr">
        <s:is>
          <s:t>Po, pas implementimit</s:t>
        </s:is>
      </s:c>
      <s:c r="AH15" s="42" t="inlineStr">
        <s:is>
          <s:t>Ka ende konstante stili në komponentë; duhet rishikim kontrasti/dark mode dhe provë vizuale e versionit aktual.</s:t>
        </s:is>
      </s:c>
      <s:c r="AI15" s="42" t="inlineStr">
        <s:is>
          <s:t>docs/backlog-code-handoff-2026-09-08.json#S0-B02</s:t>
        </s:is>
      </s:c>
      <s:c r="AJ15" s="42" t="inlineStr">
        <s:is>
          <s:t>Programmer B / review: Programmer A</s:t>
        </s:is>
      </s:c>
    </s:row>
    <s:row r="16" ht="155.1" customHeight="1" s="48">
      <s:c r="A16" s="17" t="inlineStr">
        <s:is>
          <s:t>S0-B03</s:t>
        </s:is>
      </s:c>
      <s:c r="B16" s="18" t="inlineStr">
        <s:is>
          <s:t>S0</s:t>
        </s:is>
      </s:c>
      <s:c r="C16" s="18" t="inlineStr">
        <s:is>
          <s:t>Frontend</s:t>
        </s:is>
      </s:c>
      <s:c r="D16" s="12" t="inlineStr">
        <s:is>
          <s:t>Build authenticated application shell</s:t>
        </s:is>
      </s:c>
      <s:c r="E16" s="13" t="inlineStr">
        <s:is>
          <s:t>Build dashboard shell using Nuxt UI DashboardGroup/DashboardSidebar/DashboardNavbar/DashboardToolbar/DashboardSearch with persistent collapse state, org/brand switcher slots and mobile navigation.</s:t>
        </s:is>
      </s:c>
      <s:c r="F16" s="13" t="inlineStr">
        <s:is>
          <s:t>Desktop/tablet/mobile shell is keyboard accessible; navigation persists correctly; active org/brand context visible; no layout shift blocker.</s:t>
        </s:is>
      </s:c>
      <s:c r="G16" s="18" t="inlineStr">
        <s:is>
          <s:t>S0-B01,S0-B02</s:t>
        </s:is>
      </s:c>
      <s:c r="H16" s="18" t="inlineStr">
        <s:is>
          <s:t>P0</s:t>
        </s:is>
      </s:c>
      <s:c r="I16" s="18" t="inlineStr">
        <s:is>
          <s:t>Programmer B</s:t>
        </s:is>
      </s:c>
      <s:c r="J16" s="18" t="inlineStr">
        <s:is>
          <s:t>Programmer A</s:t>
        </s:is>
      </s:c>
      <s:c r="K16" s="18" t="n">
        <s:v>8</s:v>
      </s:c>
      <s:c r="L16" s="31" t="inlineStr">
        <s:is>
          <s:t>In Review</s:t>
        </s:is>
      </s:c>
      <s:c r="M16" s="13" t="inlineStr">
        <s:is>
          <s:t>component + Playwright shell smoke</s:t>
        </s:is>
      </s:c>
      <s:c r="N16" s="18" t="inlineStr">
        <s:is>
          <s:t>RG-14</s:t>
        </s:is>
      </s:c>
      <s:c r="O16" s="13" t="inlineStr">
        <s:is>
          <s:t>No auth decisions trusted only to UI.</s:t>
        </s:is>
      </s:c>
      <s:c r="P16" s="18" t="inlineStr">
        <s:is>
          <s:t>app layout</s:t>
        </s:is>
      </s:c>
      <s:c r="Q16" s="14">
        <s:f>INDEX('01_ROADMAP'!$C$5:$C$15,MATCH(B16,'01_ROADMAP'!$A$5:$A$15,0))</s:f>
        <s:v>46272.0</s:v>
      </s:c>
      <s:c r="R16" s="14">
        <s:f>INDEX('01_ROADMAP'!$D$5:$D$15,MATCH(B16,'01_ROADMAP'!$A$5:$A$15,0))</s:f>
        <s:v>46285.0</s:v>
      </s:c>
      <s:c r="S16" s="29" t="inlineStr">
        <s:is>
          <s:t>docs/backlog-deep-audit-2026-09-07.json#S0-B03</s:t>
        </s:is>
      </s:c>
      <s:c r="T16" s="13" t="inlineStr">
        <s:is>
          <s:t>FRONTEND</s:t>
        </s:is>
      </s:c>
      <s:c r="U16" s="13" t="inlineStr">
        <s:is>
          <s:t>Auth</s:t>
        </s:is>
      </s:c>
      <s:c r="V16" s="13" t="inlineStr">
        <s:is>
          <s:t>GA</s:t>
        </s:is>
      </s:c>
      <s:c r="W16" s="13" t="inlineStr">
        <s:is>
          <s:t>See companion DOCX; use Nuxt UI primitives and shared design system for user-facing tasks.</s:t>
        </s:is>
      </s:c>
      <s:c r="X16" s="13" t="inlineStr">
        <s:is>
          <s:t>Acceptance Criteria + Test Evidence + Release Gate</s:t>
        </s:is>
      </s:c>
      <s:c r="Y16" s="58" t="inlineStr">
        <s:is>
          <s:t>Implementuar — në pranim</s:t>
        </s:is>
      </s:c>
      <s:c r="Z16" s="56" t="inlineStr">
        <s:is>
          <s:t>Shell me USidebar/UDashboardPanel, navigim, kërkim, kontekst biznesi real, collapse dhe pamje mobile.</s:t>
        </s:is>
      </s:c>
      <s:c r="AA16" s="56" t="inlineStr">
        <s:is>
          <s:t>1. Për scope-in me një biznes për pronar, kodi është implementuar. Mbeten pranim i plotë keyboard/tablet/a11y dhe RG-14; multi-org switcher është jashtë rrjedhës aktuale.</s:t>
        </s:is>
      </s:c>
      <s:c r="AB16" s="56" t="inlineStr">
        <s:is>
          <s:t>Prova e kërkuar nga backlog-u: component + Playwright shell smoke
Kriteri për t'u verifikuar (nuk deklarohet i kaluar): Desktop/tablet/mobile shell is keyboard accessible; navigation persists correctly; active org/brand context visible; no layout shift blocker.
Pranimi kërkon edhe gate-et: RG-14. Asnjë gate nuk është shënuar Passed nga ky audit.</s:t>
        </s:is>
      </s:c>
      <s:c r="AC16" s="56"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16" s="56" t="inlineStr">
        <s:is>
          <s:t>apps/web/app/layouts/dashboard.vue
apps/web/app/components/DashboardPage.vue
hq-optional-e2e.log</s:t>
        </s:is>
      </s:c>
      <s:c r="AE16" s="42" t="inlineStr">
        <s:is>
          <s:t>Kryer në kod — pret pranim/gate</s:t>
        </s:is>
      </s:c>
      <s:c r="AF16" s="42" t="inlineStr">
        <s:is>
          <s:t>Jo për scope-in e rreshtit</s:t>
        </s:is>
      </s:c>
      <s:c r="AG16" s="42" t="inlineStr">
        <s:is>
          <s:t>Po</s:t>
        </s:is>
      </s:c>
      <s:c r="AH16" s="42" t="inlineStr">
        <s:is>
          <s:t>Për scope-in me një biznes për pronar, kodi është implementuar. Mbeten pranim i plotë keyboard/tablet/a11y dhe RG-14; multi-org switcher është jashtë rrjedhës aktuale.</s:t>
        </s:is>
      </s:c>
      <s:c r="AI16" s="42" t="inlineStr">
        <s:is>
          <s:t>docs/backlog-code-handoff-2026-09-08.json#S0-B03</s:t>
        </s:is>
      </s:c>
      <s:c r="AJ16" s="42" t="inlineStr">
        <s:is>
          <s:t>Programmer B / review: Programmer A</s:t>
        </s:is>
      </s:c>
    </s:row>
    <s:row r="17" ht="180" customHeight="1" s="48">
      <s:c r="A17" s="17" t="inlineStr">
        <s:is>
          <s:t>S0-B04</s:t>
        </s:is>
      </s:c>
      <s:c r="B17" s="18" t="inlineStr">
        <s:is>
          <s:t>S0</s:t>
        </s:is>
      </s:c>
      <s:c r="C17" s="18" t="inlineStr">
        <s:is>
          <s:t>Authentication UX</s:t>
        </s:is>
      </s:c>
      <s:c r="D17" s="12" t="inlineStr">
        <s:is>
          <s:t>Implement login/signup/verify/recovery flows</s:t>
        </s:is>
      </s:c>
      <s:c r="E17" s="13" t="inlineStr">
        <s:is>
          <s:t>Integrate Better Auth sessions backed by PostgreSQL with signup, verify, login, forgot/reset and session-expired UI. Document the departure from Supabase Auth. Allow AUTH_REQUIRE_EMAIL_VERIFICATION=false only on loopback origins; support localhost and 127.0.0.1 on the same configured port.</s:t>
        </s:is>
      </s:c>
      <s:c r="F17" s="13" t="inlineStr">
        <s:is>
          <s:t>Happy/error/expired flows work against local/staging auth; redirects are safe; session clears on logout. Local bypass sends no verification link and does not forge emailVerified=true. Public origins still require verification. Tests cover both loopback host aliases and reject foreign origins.</s:t>
        </s:is>
      </s:c>
      <s:c r="G17" s="18" t="inlineStr">
        <s:is>
          <s:t>S0-A07,S0-B01</s:t>
        </s:is>
      </s:c>
      <s:c r="H17" s="18" t="inlineStr">
        <s:is>
          <s:t>P0</s:t>
        </s:is>
      </s:c>
      <s:c r="I17" s="18" t="inlineStr">
        <s:is>
          <s:t>Programmer B</s:t>
        </s:is>
      </s:c>
      <s:c r="J17" s="18" t="inlineStr">
        <s:is>
          <s:t>Programmer A</s:t>
        </s:is>
      </s:c>
      <s:c r="K17" s="18" t="n">
        <s:v>10</s:v>
      </s:c>
      <s:c r="L17" s="28" t="inlineStr">
        <s:is>
          <s:t>In Progress</s:t>
        </s:is>
      </s:c>
      <s:c r="M17" s="13" t="inlineStr">
        <s:is>
          <s:t>Playwright auth suite</s:t>
        </s:is>
      </s:c>
      <s:c r="N17" s="18" t="inlineStr">
        <s:is>
          <s:t>RG-03</s:t>
        </s:is>
      </s:c>
      <s:c r="O17" s="13" t="inlineStr">
        <s:is>
          <s:t>Avoid open redirects; no token logs.</s:t>
        </s:is>
      </s:c>
      <s:c r="P17" s="18" t="inlineStr">
        <s:is>
          <s:t>auth pages/composables</s:t>
        </s:is>
      </s:c>
      <s:c r="Q17" s="14">
        <s:f>INDEX('01_ROADMAP'!$C$5:$C$15,MATCH(B17,'01_ROADMAP'!$A$5:$A$15,0))</s:f>
        <s:v>46272.0</s:v>
      </s:c>
      <s:c r="R17" s="14">
        <s:f>INDEX('01_ROADMAP'!$D$5:$D$15,MATCH(B17,'01_ROADMAP'!$A$5:$A$15,0))</s:f>
        <s:v>46285.0</s:v>
      </s:c>
      <s:c r="S17" s="29" t="inlineStr">
        <s:is>
          <s:t>docs/backlog-partial-progress-2026-09-08.json#S0-B04</s:t>
        </s:is>
      </s:c>
      <s:c r="T17" s="13" t="inlineStr">
        <s:is>
          <s:t>FRONTEND</s:t>
        </s:is>
      </s:c>
      <s:c r="U17" s="13" t="inlineStr">
        <s:is>
          <s:t>Auth</s:t>
        </s:is>
      </s:c>
      <s:c r="V17" s="13" t="inlineStr">
        <s:is>
          <s:t>GA</s:t>
        </s:is>
      </s:c>
      <s:c r="W17" s="13" t="inlineStr">
        <s:is>
          <s:t>See companion DOCX; use Nuxt UI primitives and shared design system for user-facing tasks.</s:t>
        </s:is>
      </s:c>
      <s:c r="X17" s="13" t="inlineStr">
        <s:is>
          <s:t>Acceptance Criteria + Test Evidence + Release Gate</s:t>
        </s:is>
      </s:c>
      <s:c r="Y17" s="54" t="inlineStr">
        <s:is>
          <s:t>Pjesërisht</s:t>
        </s:is>
      </s:c>
      <s:c r="Z17" s="55" t="inlineStr">
        <s:is>
          <s:t>Login, signup dhe recovery kanë capability të ndara; trial/SMTP i munguar nuk bllokon login-in. Regjistrimi lokal, logout/login, localhost/127.0.0.1 dhe foreign-origin rejection kaluan në browser.</s:t>
        </s:is>
      </s:c>
      <s:c r="AA17" s="55" t="inlineStr">
        <s:is>
          <s:t>Mbeten verify/reset/expired/error me SMTP real në staging, public-origin verification dhe RG-03.</s:t>
        </s:is>
      </s:c>
      <s:c r="AB17" s="55" t="inlineStr">
        <s:is>
          <s:t>Prova e kërkuar nga backlog-u: Playwright auth suite
Kriteri për t'u verifikuar (nuk deklarohet i kaluar): Happy/error/expired flows work against local/staging auth; redirects are safe; session clears on logout. Local bypass sends no verification link and does not forge emailVerified=true. Public origins still require verification. Tests cover both loopback host aliases and reject foreign origins.
DA-06: Llogari ekzistuese me trial policy të padisponueshme: login lejohet kur auth punon; signup jep gabim të qartë; recovery ndjek vetëm gatishmërinë e emailit/auth.
Pranimi kërkon edhe gate-et: RG-03. Asnjë gate nuk është shënuar Passed nga ky audit.</s:t>
        </s:is>
      </s:c>
      <s:c r="AC17" s="55" t="inlineStr">
        <s:is>
          <s:t>47/47 unit/integration; 8/8 E2E desktop/mobile. Testet e auth capability mbulojnë DB/trial/SMTP degradation.</s:t>
        </s:is>
      </s:c>
      <s:c r="AD17" s="55" t="inlineStr">
        <s:is>
          <s:t>apps/web/server/utils/auth-configuration.ts
apps/web/server/utils/auth.ts
apps/web/server/api/capabilities.get.ts
apps/web/app/components/AuthSurface.vue
apps/web/tests/unit/auth-configuration.test.ts
apps/web/tests/e2e/local-registration.spec.ts</s:t>
        </s:is>
      </s:c>
      <s:c r="AE17" s="42" t="inlineStr">
        <s:is>
          <s:t>Pjesërisht — kërkon zhvillim</s:t>
        </s:is>
      </s:c>
      <s:c r="AF17" s="42" t="inlineStr">
        <s:is>
          <s:t>Po</s:t>
        </s:is>
      </s:c>
      <s:c r="AG17" s="42" t="inlineStr">
        <s:is>
          <s:t>Po — përzier me punë të jashtme</s:t>
        </s:is>
      </s:c>
      <s:c r="AH17" s="42" t="inlineStr">
        <s:is>
          <s:t>Mbeten verify/reset/expired/error me SMTP real në staging, public-origin verification dhe RG-03.</s:t>
        </s:is>
      </s:c>
      <s:c r="AI17" s="42" t="inlineStr">
        <s:is>
          <s:t>docs/backlog-code-handoff-2026-09-08.json#S0-B04</s:t>
        </s:is>
      </s:c>
      <s:c r="AJ17" s="42" t="inlineStr">
        <s:is>
          <s:t>Programmer B / review: Programmer A</s:t>
        </s:is>
      </s:c>
    </s:row>
    <s:row r="18" ht="155.1" customHeight="1" s="48">
      <s:c r="A18" s="17" t="inlineStr">
        <s:is>
          <s:t>S0-B05</s:t>
        </s:is>
      </s:c>
      <s:c r="B18" s="18" t="inlineStr">
        <s:is>
          <s:t>S0</s:t>
        </s:is>
      </s:c>
      <s:c r="C18" s="18" t="inlineStr">
        <s:is>
          <s:t>Landing</s:t>
        </s:is>
      </s:c>
      <s:c r="D18" s="12" t="inlineStr">
        <s:is>
          <s:t>Build production landing page skeleton</s:t>
        </s:is>
      </s:c>
      <s:c r="E18" s="13" t="inlineStr">
        <s:is>
          <s:t>Build SSR production landing using Nuxt UI Header/PageHero/PageSection/PageFeature/PageGrid/Pricing teaser/PageCTA/Footer; include responsive navigation, trust section placeholders and lazy noncritical motion.</s:t>
        </s:is>
      </s:c>
      <s:c r="F18" s="13" t="inlineStr">
        <s:is>
          <s:t>Core marketing copy renders SSR; responsive 360px+; CTA paths valid; hero animation respects reduced motion and does not delay LCP.</s:t>
        </s:is>
      </s:c>
      <s:c r="G18" s="18" t="inlineStr">
        <s:is>
          <s:t>S0-B02</s:t>
        </s:is>
      </s:c>
      <s:c r="H18" s="18" t="inlineStr">
        <s:is>
          <s:t>P1</s:t>
        </s:is>
      </s:c>
      <s:c r="I18" s="18" t="inlineStr">
        <s:is>
          <s:t>Programmer B</s:t>
        </s:is>
      </s:c>
      <s:c r="J18" s="18" t="inlineStr">
        <s:is>
          <s:t>Programmer A</s:t>
        </s:is>
      </s:c>
      <s:c r="K18" s="18" t="n">
        <s:v>10</s:v>
      </s:c>
      <s:c r="L18" s="28" t="inlineStr">
        <s:is>
          <s:t>In Review</s:t>
        </s:is>
      </s:c>
      <s:c r="M18" s="13" t="inlineStr">
        <s:is>
          <s:t>Lighthouse + responsive QA</s:t>
        </s:is>
      </s:c>
      <s:c r="N18" s="18" t="inlineStr">
        <s:is>
          <s:t>RG-14</s:t>
        </s:is>
      </s:c>
      <s:c r="O18" s="13" t="inlineStr">
        <s:is>
          <s:t>No fabricated customer claims.</s:t>
        </s:is>
      </s:c>
      <s:c r="P18" s="18" t="inlineStr">
        <s:is>
          <s:t>marketing pages</s:t>
        </s:is>
      </s:c>
      <s:c r="Q18" s="14">
        <s:f>INDEX('01_ROADMAP'!$C$5:$C$15,MATCH(B18,'01_ROADMAP'!$A$5:$A$15,0))</s:f>
        <s:v>46272.0</s:v>
      </s:c>
      <s:c r="R18" s="14">
        <s:f>INDEX('01_ROADMAP'!$D$5:$D$15,MATCH(B18,'01_ROADMAP'!$A$5:$A$15,0))</s:f>
        <s:v>46285.0</s:v>
      </s:c>
      <s:c r="S18" s="29" t="inlineStr">
        <s:is>
          <s:t>docs/backlog-deep-audit-2026-09-07.json#S0-B05</s:t>
        </s:is>
      </s:c>
      <s:c r="T18" s="13" t="inlineStr">
        <s:is>
          <s:t>FRONTEND</s:t>
        </s:is>
      </s:c>
      <s:c r="U18" s="13" t="inlineStr">
        <s:is>
          <s:t>Landing</s:t>
        </s:is>
      </s:c>
      <s:c r="V18" s="13" t="inlineStr">
        <s:is>
          <s:t>GA</s:t>
        </s:is>
      </s:c>
      <s:c r="W18" s="13" t="inlineStr">
        <s:is>
          <s:t>See companion DOCX; use Nuxt UI primitives and shared design system for user-facing tasks.</s:t>
        </s:is>
      </s:c>
      <s:c r="X18" s="13" t="inlineStr">
        <s:is>
          <s:t>Acceptance Criteria + Test Evidence + Release Gate</s:t>
        </s:is>
      </s:c>
      <s:c r="Y18" s="54" t="inlineStr">
        <s:is>
          <s:t>Implementuar — në pranim</s:t>
        </s:is>
      </s:c>
      <s:c r="Z18" s="56" t="inlineStr">
        <s:is>
          <s:t>Landing SSR me Nuxt UI, navigim responsive, CTA reale, çmime nga API dhe motion me reduced-motion.
Klasifikimi 2026-09-08: Landing SSR/responsive/motion është implementuar; pret Lighthouse, 360px dhe content review.</s:t>
        </s:is>
      </s:c>
      <s:c r="AA18" s="56" t="inlineStr">
        <s:is>
          <s:t>1. Matje aktuale Lighthouse/LCP në build prodhimi, responsive 360px dhe audit i pretendimeve tregtare/SEO.</s:t>
        </s:is>
      </s:c>
      <s:c r="AB18" s="56" t="inlineStr">
        <s:is>
          <s:t>Prova e kërkuar nga backlog-u: Lighthouse + responsive QA
Kriteri për t'u verifikuar (nuk deklarohet i kaluar): Core marketing copy renders SSR; responsive 360px+; CTA paths valid; hero animation respects reduced motion and does not delay LCP.
Pranimi kërkon edhe gate-et: RG-14. Asnjë gate nuk është shënuar Passed nga ky audit.</s:t>
        </s:is>
      </s:c>
      <s:c r="AC18" s="56" t="inlineStr">
        <s:is>
          <s:t>hq-deep-audit-live-e2e-rerun.log: faqet publike dhe rrugët drejt regjistrimit kalojnë në desktop/mobile. Lighthouse/Web Vitals në build production nuk u matën.</s:t>
        </s:is>
      </s:c>
      <s:c r="AD18" s="56" t="inlineStr">
        <s:is>
          <s:t>apps/web/app/pages/index.vue
apps/web/app/components/LandingMotion.vue
apps/web/tests/e2e/live.spec.ts</s:t>
        </s:is>
      </s:c>
      <s:c r="AE18" s="42" t="inlineStr">
        <s:is>
          <s:t>Kryer në kod — pret pranim/gate</s:t>
        </s:is>
      </s:c>
      <s:c r="AF18" s="42" t="inlineStr">
        <s:is>
          <s:t>Jo për scope-in e rreshtit</s:t>
        </s:is>
      </s:c>
      <s:c r="AG18" s="42" t="inlineStr">
        <s:is>
          <s:t>Po</s:t>
        </s:is>
      </s:c>
      <s:c r="AH18" s="42" t="inlineStr">
        <s:is>
          <s:t>Matje aktuale Lighthouse/LCP në build prodhimi, responsive 360px dhe audit i pretendimeve tregtare/SEO.</s:t>
        </s:is>
      </s:c>
      <s:c r="AI18" s="42" t="inlineStr">
        <s:is>
          <s:t>docs/backlog-code-handoff-2026-09-08.json#S0-B05</s:t>
        </s:is>
      </s:c>
      <s:c r="AJ18" s="42" t="inlineStr">
        <s:is>
          <s:t>Programmer B / review: Programmer A</s:t>
        </s:is>
      </s:c>
    </s:row>
    <s:row r="19" ht="155.1" customHeight="1" s="48">
      <s:c r="A19" s="17" t="inlineStr">
        <s:is>
          <s:t>S0-B06</s:t>
        </s:is>
      </s:c>
      <s:c r="B19" s="18" t="inlineStr">
        <s:is>
          <s:t>S0</s:t>
        </s:is>
      </s:c>
      <s:c r="C19" s="18" t="inlineStr">
        <s:is>
          <s:t>API Contracts</s:t>
        </s:is>
      </s:c>
      <s:c r="D19" s="12" t="inlineStr">
        <s:is>
          <s:t>Generate typed frontend API client</s:t>
        </s:is>
      </s:c>
      <s:c r="E19" s="13" t="inlineStr">
        <s:is>
          <s:t>Configure OpenAPI export and TS client generation; wrap auth/error/request-id handling in one transport layer.</s:t>
        </s:is>
      </s:c>
      <s:c r="F19" s="13" t="inlineStr">
        <s:is>
          <s:t>Generated client compiles; manual DTO duplication prohibited; API Problem errors map to typed UI error.</s:t>
        </s:is>
      </s:c>
      <s:c r="G19" s="18" t="inlineStr">
        <s:is>
          <s:t>S0-A02,S0-B01</s:t>
        </s:is>
      </s:c>
      <s:c r="H19" s="18" t="inlineStr">
        <s:is>
          <s:t>P0</s:t>
        </s:is>
      </s:c>
      <s:c r="I19" s="18" t="inlineStr">
        <s:is>
          <s:t>Programmer B</s:t>
        </s:is>
      </s:c>
      <s:c r="J19" s="18" t="inlineStr">
        <s:is>
          <s:t>Programmer A</s:t>
        </s:is>
      </s:c>
      <s:c r="K19" s="18" t="n">
        <s:v>7</s:v>
      </s:c>
      <s:c r="L19" s="28" t="inlineStr">
        <s:is>
          <s:t>In Progress</s:t>
        </s:is>
      </s:c>
      <s:c r="M19" s="13" t="inlineStr">
        <s:is>
          <s:t>Contract generation diff test</s:t>
        </s:is>
      </s:c>
      <s:c r="N19" s="18" t="inlineStr">
        <s:is>
          <s:t>RG-01</s:t>
        </s:is>
      </s:c>
      <s:c r="O19" s="13" t="inlineStr">
        <s:is>
          <s:t>Centralized transport avoids token leakage.</s:t>
        </s:is>
      </s:c>
      <s:c r="P19" s="18" t="inlineStr">
        <s:is>
          <s:t>packages/contracts/client</s:t>
        </s:is>
      </s:c>
      <s:c r="Q19" s="14">
        <s:f>INDEX('01_ROADMAP'!$C$5:$C$15,MATCH(B19,'01_ROADMAP'!$A$5:$A$15,0))</s:f>
        <s:v>46272.0</s:v>
      </s:c>
      <s:c r="R19" s="14">
        <s:f>INDEX('01_ROADMAP'!$D$5:$D$15,MATCH(B19,'01_ROADMAP'!$A$5:$A$15,0))</s:f>
        <s:v>46285.0</s:v>
      </s:c>
      <s:c r="S19" s="29" t="inlineStr">
        <s:is>
          <s:t>docs/backlog-deep-audit-2026-09-07.json#S0-B06</s:t>
        </s:is>
      </s:c>
      <s:c r="T19" s="13" t="inlineStr">
        <s:is>
          <s:t>FRONTEND</s:t>
        </s:is>
      </s:c>
      <s:c r="U19" s="13" t="inlineStr">
        <s:is>
          <s:t>Platform</s:t>
        </s:is>
      </s:c>
      <s:c r="V19" s="13" t="inlineStr">
        <s:is>
          <s:t>GA</s:t>
        </s:is>
      </s:c>
      <s:c r="W19" s="13" t="inlineStr">
        <s:is>
          <s:t>See companion DOCX; use Nuxt UI primitives and shared design system for user-facing tasks.</s:t>
        </s:is>
      </s:c>
      <s:c r="X19" s="13" t="inlineStr">
        <s:is>
          <s:t>Acceptance Criteria + Test Evidence + Release Gate</s:t>
        </s:is>
      </s:c>
      <s:c r="Y19" s="54" t="inlineStr">
        <s:is>
          <s:t>Pjesërisht</s:t>
        </s:is>
      </s:c>
      <s:c r="Z19" s="55" t="inlineStr">
        <s:is>
          <s:t>Tipe nga Zod/Nitro dhe një composable transporti bazë.</s:t>
        </s:is>
      </s:c>
      <s:c r="AA19" s="55" t="inlineStr">
        <s:is>
          <s:t>1. Nuk ka OpenAPI export/client generation, contract diff apo Problem/request-id të unifikuar; useApi nuk është transporti i vetëm i rrjedhave.</s:t>
        </s:is>
      </s:c>
      <s:c r="AB19" s="55" t="inlineStr">
        <s:is>
          <s:t>Prova e kërkuar nga backlog-u: Contract generation diff test
Kriteri për t'u verifikuar (nuk deklarohet i kaluar): Generated client compiles; manual DTO duplication prohibited; API Problem errors map to typed UI error.
Pranimi kërkon edhe gate-et: RG-01. Asnjë gate nuk është shënuar Passed nga ky audit.</s:t>
        </s:is>
      </s:c>
      <s:c r="AC19" s="55" t="inlineStr">
        <s:is>
          <s:t>hq-deep-audit-lint.log, hq-deep-audit-app-types.log, hq-deep-audit-server-types.log: exit 0; lint i plotë dhe TypeScript app/server. Nuk u krye clean install/build prodhimi ose hosted CI.</s:t>
        </s:is>
      </s:c>
      <s:c r="AD19" s="55" t="inlineStr">
        <s:is>
          <s:t>apps/web/app/composables/useApi.ts
apps/web/shared/schemas
apps/web/app/composables/useWorkspace.ts</s:t>
        </s:is>
      </s:c>
      <s:c r="AE19" s="42" t="inlineStr">
        <s:is>
          <s:t>Pjesërisht — kërkon zhvillim</s:t>
        </s:is>
      </s:c>
      <s:c r="AF19" s="42" t="inlineStr">
        <s:is>
          <s:t>Po</s:t>
        </s:is>
      </s:c>
      <s:c r="AG19" s="42" t="inlineStr">
        <s:is>
          <s:t>Po, pas implementimit</s:t>
        </s:is>
      </s:c>
      <s:c r="AH19" s="42" t="inlineStr">
        <s:is>
          <s:t>Nuk ka OpenAPI export/client generation, contract diff apo Problem/request-id të unifikuar; useApi nuk është transporti i vetëm i rrjedhave.</s:t>
        </s:is>
      </s:c>
      <s:c r="AI19" s="42" t="inlineStr">
        <s:is>
          <s:t>docs/backlog-code-handoff-2026-09-08.json#S0-B06</s:t>
        </s:is>
      </s:c>
      <s:c r="AJ19" s="42" t="inlineStr">
        <s:is>
          <s:t>Programmer B / review: Programmer A</s:t>
        </s:is>
      </s:c>
    </s:row>
    <s:row r="20" ht="180" customHeight="1" s="48">
      <s:c r="A20" s="17" t="inlineStr">
        <s:is>
          <s:t>S0-B07</s:t>
        </s:is>
      </s:c>
      <s:c r="B20" s="18" t="inlineStr">
        <s:is>
          <s:t>S0</s:t>
        </s:is>
      </s:c>
      <s:c r="C20" s="18" t="inlineStr">
        <s:is>
          <s:t>Frontend CI</s:t>
        </s:is>
      </s:c>
      <s:c r="D20" s="12" t="inlineStr">
        <s:is>
          <s:t>Create web quality pipeline</s:t>
        </s:is>
      </s:c>
      <s:c r="E20" s="13" t="inlineStr">
        <s:is>
          <s:t>Create web quality pipeline: typecheck, lint, unit/component tests, Nuxt build, bundle-size observation, dependency audit, Playwright smoke and visual-regression hooks.</s:t>
        </s:is>
      </s:c>
      <s:c r="F20" s="13" t="inlineStr">
        <s:is>
          <s:t>Required checks block merge; build artifact reproducible; material bundle regression visible in CI.</s:t>
        </s:is>
      </s:c>
      <s:c r="G20" s="18" t="inlineStr">
        <s:is>
          <s:t>S0-B01</s:t>
        </s:is>
      </s:c>
      <s:c r="H20" s="18" t="inlineStr">
        <s:is>
          <s:t>P0</s:t>
        </s:is>
      </s:c>
      <s:c r="I20" s="18" t="inlineStr">
        <s:is>
          <s:t>Programmer B</s:t>
        </s:is>
      </s:c>
      <s:c r="J20" s="18" t="inlineStr">
        <s:is>
          <s:t>Programmer A</s:t>
        </s:is>
      </s:c>
      <s:c r="K20" s="18" t="n">
        <s:v>7</s:v>
      </s:c>
      <s:c r="L20" s="28" t="inlineStr">
        <s:is>
          <s:t>In Progress</s:t>
        </s:is>
      </s:c>
      <s:c r="M20" s="13" t="inlineStr">
        <s:is>
          <s:t>Failing-check verification</s:t>
        </s:is>
      </s:c>
      <s:c r="N20" s="18" t="inlineStr">
        <s:is>
          <s:t>RG-01</s:t>
        </s:is>
      </s:c>
      <s:c r="O20" s="13" t="inlineStr">
        <s:is>
          <s:t>Supply-chain/dependency checks.</s:t>
        </s:is>
      </s:c>
      <s:c r="P20" s="18" t="inlineStr">
        <s:is>
          <s:t>.github/workflows web</s:t>
        </s:is>
      </s:c>
      <s:c r="Q20" s="14">
        <s:f>INDEX('01_ROADMAP'!$C$5:$C$15,MATCH(B20,'01_ROADMAP'!$A$5:$A$15,0))</s:f>
        <s:v>46272.0</s:v>
      </s:c>
      <s:c r="R20" s="14">
        <s:f>INDEX('01_ROADMAP'!$D$5:$D$15,MATCH(B20,'01_ROADMAP'!$A$5:$A$15,0))</s:f>
        <s:v>46285.0</s:v>
      </s:c>
      <s:c r="S20" s="29" t="inlineStr">
        <s:is>
          <s:t>docs/backlog-partial-progress-2026-09-08.json#S0-B07</s:t>
        </s:is>
      </s:c>
      <s:c r="T20" s="13" t="inlineStr">
        <s:is>
          <s:t>FRONTEND</s:t>
        </s:is>
      </s:c>
      <s:c r="U20" s="13" t="inlineStr">
        <s:is>
          <s:t>Platform</s:t>
        </s:is>
      </s:c>
      <s:c r="V20" s="13" t="inlineStr">
        <s:is>
          <s:t>GA</s:t>
        </s:is>
      </s:c>
      <s:c r="W20" s="13" t="inlineStr">
        <s:is>
          <s:t>See companion DOCX; use Nuxt UI primitives and shared design system for user-facing tasks.</s:t>
        </s:is>
      </s:c>
      <s:c r="X20" s="13" t="inlineStr">
        <s:is>
          <s:t>Acceptance Criteria + Test Evidence + Release Gate</s:t>
        </s:is>
      </s:c>
      <s:c r="Y20" s="54" t="inlineStr">
        <s:is>
          <s:t>Pjesërisht</s:t>
        </s:is>
      </s:c>
      <s:c r="Z20" s="56" t="inlineStr">
        <s:is>
          <s:t>Pipeline-i përmban Node 24, PostgreSQL, migrime, lint, typecheck, unit/integration, audit, build, bundle budget, readiness, E2E dhe artifacts.</s:t>
        </s:is>
      </s:c>
      <s:c r="AA20" s="56" t="inlineStr">
        <s:is>
          <s:t>Mbeten run hosted, reproducibility nga checkout i pastër, required-check enforcement dhe deliberate failing check.</s:t>
        </s:is>
      </s:c>
      <s:c r="AB20" s="56" t="inlineStr">
        <s:is>
          <s:t>Prova e kërkuar nga backlog-u: Failing-check verification
Kriteri për t'u verifikuar (nuk deklarohet i kaluar): Required checks block merge; build artifact reproducible; material bundle regression visible in CI.
DA-08: CI nga checkout i pastër kalon testet me DB; heqja e një guard-i e bllokon merge-in. Arkivo raportet pa sekrete.
Pranimi kërkon edhe gate-et: RG-01. Asnjë gate nuk është shënuar Passed nga ky audit.</s:t>
        </s:is>
      </s:c>
      <s:c r="AC20" s="56" t="inlineStr">
        <s:is>
          <s:t>Të gjitha kontrollet ekuivalente përveç clean build/hosted CI kaluan lokalisht; kjo nuk provon merge blocking.
Validimi 2026-09-08: CI ndërton container-in production dhe E2E ekzekutohet mbi të; actionlint kaloi. Hosted CI dhe branch protection mbeten gate të jashtme.</s:t>
        </s:is>
      </s:c>
      <s:c r="AD20" s="56" t="inlineStr">
        <s:is>
          <s:t>.github/workflows/frontend.yml
.nvmrc
docs/VALIDATION.md
.github/workflows/frontend.yml; Dockerfile; apps/web/scripts/bundle-budget.mjs</s:t>
        </s:is>
      </s:c>
      <s:c r="AE20" s="42" t="inlineStr">
        <s:is>
          <s:t>Pjesërisht — kërkon zhvillim</s:t>
        </s:is>
      </s:c>
      <s:c r="AF20" s="42" t="inlineStr">
        <s:is>
          <s:t>Po</s:t>
        </s:is>
      </s:c>
      <s:c r="AG20" s="42" t="inlineStr">
        <s:is>
          <s:t>Po, pas implementimit</s:t>
        </s:is>
      </s:c>
      <s:c r="AH20" s="42" t="inlineStr">
        <s:is>
          <s:t>Mbeten run hosted, reproducibility nga checkout i pastër, required-check enforcement dhe deliberate failing check.</s:t>
        </s:is>
      </s:c>
      <s:c r="AI20" s="42" t="inlineStr">
        <s:is>
          <s:t>docs/backlog-code-handoff-2026-09-08.json#S0-B07</s:t>
        </s:is>
      </s:c>
      <s:c r="AJ20" s="42" t="inlineStr">
        <s:is>
          <s:t>Programmer B / review: Programmer A</s:t>
        </s:is>
      </s:c>
    </s:row>
    <s:row r="21" ht="180" customHeight="1" s="48">
      <s:c r="A21" s="17" t="inlineStr">
        <s:is>
          <s:t>S0-B08</s:t>
        </s:is>
      </s:c>
      <s:c r="B21" s="18" t="inlineStr">
        <s:is>
          <s:t>S0</s:t>
        </s:is>
      </s:c>
      <s:c r="C21" s="18" t="inlineStr">
        <s:is>
          <s:t>E2E</s:t>
        </s:is>
      </s:c>
      <s:c r="D21" s="12" t="inlineStr">
        <s:is>
          <s:t>Create Playwright test framework</s:t>
        </s:is>
      </s:c>
      <s:c r="E21" s="13" t="inlineStr">
        <s:is>
          <s:t>Define fixtures, authenticated session setup, test data IDs, mobile/desktop projects and trace-on-failure policy.</s:t>
        </s:is>
      </s:c>
      <s:c r="F21" s="13" t="inlineStr">
        <s:is>
          <s:t>Auth smoke runs deterministically in CI; failed tests upload trace/screenshot.</s:t>
        </s:is>
      </s:c>
      <s:c r="G21" s="18" t="inlineStr">
        <s:is>
          <s:t>S0-B04,S0-B07</s:t>
        </s:is>
      </s:c>
      <s:c r="H21" s="18" t="inlineStr">
        <s:is>
          <s:t>P1</s:t>
        </s:is>
      </s:c>
      <s:c r="I21" s="18" t="inlineStr">
        <s:is>
          <s:t>Programmer B</s:t>
        </s:is>
      </s:c>
      <s:c r="J21" s="18" t="inlineStr">
        <s:is>
          <s:t>Programmer A</s:t>
        </s:is>
      </s:c>
      <s:c r="K21" s="18" t="n">
        <s:v>7</s:v>
      </s:c>
      <s:c r="L21" s="28" t="inlineStr">
        <s:is>
          <s:t>In Review</s:t>
        </s:is>
      </s:c>
      <s:c r="M21" s="13" t="inlineStr">
        <s:is>
          <s:t>Playwright CI run</s:t>
        </s:is>
      </s:c>
      <s:c r="N21" s="18" t="inlineStr">
        <s:is>
          <s:t>RG-14</s:t>
        </s:is>
      </s:c>
      <s:c r="O21" s="13" t="inlineStr">
        <s:is>
          <s:t>Uses synthetic test accounts/data.</s:t>
        </s:is>
      </s:c>
      <s:c r="P21" s="18" t="inlineStr">
        <s:is>
          <s:t>tests/e2e framework</s:t>
        </s:is>
      </s:c>
      <s:c r="Q21" s="14">
        <s:f>INDEX('01_ROADMAP'!$C$5:$C$15,MATCH(B21,'01_ROADMAP'!$A$5:$A$15,0))</s:f>
        <s:v>46272.0</s:v>
      </s:c>
      <s:c r="R21" s="14">
        <s:f>INDEX('01_ROADMAP'!$D$5:$D$15,MATCH(B21,'01_ROADMAP'!$A$5:$A$15,0))</s:f>
        <s:v>46285.0</s:v>
      </s:c>
      <s:c r="S21" s="29" t="inlineStr">
        <s:is>
          <s:t>docs/backlog-partial-progress-2026-09-08.json#S0-B08</s:t>
        </s:is>
      </s:c>
      <s:c r="T21" s="13" t="inlineStr">
        <s:is>
          <s:t>FRONTEND</s:t>
        </s:is>
      </s:c>
      <s:c r="U21" s="13" t="inlineStr">
        <s:is>
          <s:t>Platform</s:t>
        </s:is>
      </s:c>
      <s:c r="V21" s="13" t="inlineStr">
        <s:is>
          <s:t>GA</s:t>
        </s:is>
      </s:c>
      <s:c r="W21" s="13" t="inlineStr">
        <s:is>
          <s:t>See companion DOCX; use Nuxt UI primitives and shared design system for user-facing tasks.</s:t>
        </s:is>
      </s:c>
      <s:c r="X21" s="13" t="inlineStr">
        <s:is>
          <s:t>Acceptance Criteria + Test Evidence + Release Gate</s:t>
        </s:is>
      </s:c>
      <s:c r="Y21" s="54" t="inlineStr">
        <s:is>
          <s:t>Implementuar — në pranim</s:t>
        </s:is>
      </s:c>
      <s:c r="Z21" s="55" t="inlineStr">
        <s:is>
          <s:t>Playwright ekzekuton desktop/mobile me trace dhe screenshot në dështim. Tetë teste të kombinuara kaluan me exit 0; rate limit i signup mbetet aktiv dhe lejon suitën deterministe.
Klasifikimi 2026-09-08: Playwright framework, projects, trace dhe screenshots janë implementuar; pret hosted CI proof.</s:t>
        </s:is>
      </s:c>
      <s:c r="AA21" s="55" t="inlineStr">
        <s:is>
          <s:t>Mbeten hosted CI run, cleanup/isolim i provuar i fixture-ve dhe RG-14. Emrat aksesues të pagination-it mbeten anglisht nga primitive-i.</s:t>
        </s:is>
      </s:c>
      <s:c r="AB21" s="55" t="inlineStr">
        <s:is>
          <s:t>Prova e kërkuar nga backlog-u: Playwright CI run
Kriteri për t'u verifikuar (nuk deklarohet i kaluar): Auth smoke runs deterministically in CI; failed tests upload trace/screenshot.
DA-08: CI nga checkout i pastër kalon testet me DB; heqja e një guard-i e bllokon merge-in. Arkivo raportet pa sekrete.
DA-17: Rerun live.spec.ts: 4/4 desktop/mobile, përfshirë pagination dhe axe në 7 faqe dashboard-i.
Pranimi kërkon edhe gate-et: RG-14. Asnjë gate nuk është shënuar Passed nga ky audit.</s:t>
        </s:is>
      </s:c>
      <s:c r="AC21" s="55" t="inlineStr">
        <s:is>
          <s:t>8/8 E2E në Chromium desktop/mobile, përfshirë regjistrim, private tenant, pagination dhe optional Meta.
Validimi 2026-09-08: 8/8 E2E kaluan në Chromium desktop/mobile kundër container-it production; workflow-i ruan trace, screenshot, report dhe production log.
Validimi 2026-09-08: 14/14 E2E kaluan në Chromium desktop/mobile kundër container-it production; workflow-i ruan trace, screenshot, report dhe production log.</s:t>
        </s:is>
      </s:c>
      <s:c r="AD21" s="55" t="inlineStr">
        <s:is>
          <s:t>apps/web/playwright.config.ts
apps/web/tests/e2e/live.spec.ts
apps/web/tests/e2e/local-registration.spec.ts
apps/web/tests/e2e/optional-meta.spec.ts
.github/workflows/frontend.yml; apps/web/playwright.config.ts; apps/web/tests/e2e; docs/VALIDATION.md</s:t>
        </s:is>
      </s:c>
      <s:c r="AE21" s="42" t="inlineStr">
        <s:is>
          <s:t>Kryer në kod — pret pranim/gate</s:t>
        </s:is>
      </s:c>
      <s:c r="AF21" s="42" t="inlineStr">
        <s:is>
          <s:t>Jo për scope-in e rreshtit</s:t>
        </s:is>
      </s:c>
      <s:c r="AG21" s="42" t="inlineStr">
        <s:is>
          <s:t>Po</s:t>
        </s:is>
      </s:c>
      <s:c r="AH21" s="42" t="inlineStr">
        <s:is>
          <s:t>Mbeten hosted CI run, cleanup/isolim i provuar i fixture-ve dhe RG-14. Emrat aksesues të pagination-it mbeten anglisht nga primitive-i.</s:t>
        </s:is>
      </s:c>
      <s:c r="AI21" s="42" t="inlineStr">
        <s:is>
          <s:t>docs/backlog-code-handoff-2026-09-08.json#S0-B08</s:t>
        </s:is>
      </s:c>
      <s:c r="AJ21" s="42" t="inlineStr">
        <s:is>
          <s:t>Programmer B / review: Programmer A</s:t>
        </s:is>
      </s:c>
    </s:row>
    <s:row r="22" ht="155.1" customHeight="1" s="48">
      <s:c r="A22" s="17" t="inlineStr">
        <s:is>
          <s:t>S0-B09</s:t>
        </s:is>
      </s:c>
      <s:c r="B22" s="18" t="inlineStr">
        <s:is>
          <s:t>S0</s:t>
        </s:is>
      </s:c>
      <s:c r="C22" s="18" t="inlineStr">
        <s:is>
          <s:t>Accessibility</s:t>
        </s:is>
      </s:c>
      <s:c r="D22" s="12" t="inlineStr">
        <s:is>
          <s:t>Establish accessibility baseline</s:t>
        </s:is>
      </s:c>
      <s:c r="E22" s="13" t="inlineStr">
        <s:is>
          <s:t>Define WCAG-oriented baseline, keyboard/focus rules, live-region/status patterns, reduced-motion policy and axe integration for critical components.</s:t>
        </s:is>
      </s:c>
      <s:c r="F22" s="13" t="inlineStr">
        <s:is>
          <s:t>Auth/shell/landing baseline has no serious automated findings; focus visible; reduced-motion fixture verified.</s:t>
        </s:is>
      </s:c>
      <s:c r="G22" s="18" t="inlineStr">
        <s:is>
          <s:t>S0-B02,S0-B05</s:t>
        </s:is>
      </s:c>
      <s:c r="H22" s="18" t="inlineStr">
        <s:is>
          <s:t>P1</s:t>
        </s:is>
      </s:c>
      <s:c r="I22" s="18" t="inlineStr">
        <s:is>
          <s:t>Programmer B</s:t>
        </s:is>
      </s:c>
      <s:c r="J22" s="18" t="inlineStr">
        <s:is>
          <s:t>Programmer A</s:t>
        </s:is>
      </s:c>
      <s:c r="K22" s="18" t="n">
        <s:v>5</s:v>
      </s:c>
      <s:c r="L22" s="28" t="inlineStr">
        <s:is>
          <s:t>In Review</s:t>
        </s:is>
      </s:c>
      <s:c r="M22" s="13" t="inlineStr">
        <s:is>
          <s:t>axe/keyboard manual smoke</s:t>
        </s:is>
      </s:c>
      <s:c r="N22" s="18" t="inlineStr">
        <s:is>
          <s:t>RG-14</s:t>
        </s:is>
      </s:c>
      <s:c r="O22" s="13" t="inlineStr">
        <s:is>
          <s:t>Accessibility is release criterion.</s:t>
        </s:is>
      </s:c>
      <s:c r="P22" s="18" t="inlineStr">
        <s:is>
          <s:t>a11y tests/checklist</s:t>
        </s:is>
      </s:c>
      <s:c r="Q22" s="14">
        <s:f>INDEX('01_ROADMAP'!$C$5:$C$15,MATCH(B22,'01_ROADMAP'!$A$5:$A$15,0))</s:f>
        <s:v>46272.0</s:v>
      </s:c>
      <s:c r="R22" s="14">
        <s:f>INDEX('01_ROADMAP'!$D$5:$D$15,MATCH(B22,'01_ROADMAP'!$A$5:$A$15,0))</s:f>
        <s:v>46285.0</s:v>
      </s:c>
      <s:c r="S22" s="29" t="inlineStr">
        <s:is>
          <s:t>docs/backlog-deep-audit-2026-09-07.json#S0-B09</s:t>
        </s:is>
      </s:c>
      <s:c r="T22" s="13" t="inlineStr">
        <s:is>
          <s:t>FRONTEND</s:t>
        </s:is>
      </s:c>
      <s:c r="U22" s="13" t="inlineStr">
        <s:is>
          <s:t>Platform</s:t>
        </s:is>
      </s:c>
      <s:c r="V22" s="13" t="inlineStr">
        <s:is>
          <s:t>GA</s:t>
        </s:is>
      </s:c>
      <s:c r="W22" s="13" t="inlineStr">
        <s:is>
          <s:t>See companion DOCX; use Nuxt UI primitives and shared design system for user-facing tasks.</s:t>
        </s:is>
      </s:c>
      <s:c r="X22" s="13" t="inlineStr">
        <s:is>
          <s:t>Acceptance Criteria + Test Evidence + Release Gate</s:t>
        </s:is>
      </s:c>
      <s:c r="Y22" s="54" t="inlineStr">
        <s:is>
          <s:t>Implementuar — në pranim</s:t>
        </s:is>
      </s:c>
      <s:c r="Z22" s="56" t="inlineStr">
        <s:is>
          <s:t>Nuxt UI primitives, labels/focus dhe reduced-motion ekzistojnë; axe është në testet live dhe provat e fundit mbulojnë desktop/mobile pa overflow.
Klasifikimi 2026-09-08: Baza e aksesueshmërisë për landing/auth/dashboard, fokusin me tastierë dhe reduced motion është implementuar e verifikuar; pret RG-14.</s:t>
        </s:is>
      </s:c>
      <s:c r="AA22" s="56" t="inlineStr">
        <s:is>
          <s:t>1. Raporti i vjetër me demo nuk pranon kodin aktual. Duhet rerun i plotë axe, keyboard/screen-reader, contrast dhe checklist manual për rrjedhat reale.</s:t>
        </s:is>
      </s:c>
      <s:c r="AB22" s="56" t="inlineStr">
        <s:is>
          <s:t>Prova e kërkuar nga backlog-u: axe/keyboard manual smoke
Kriteri për t'u verifikuar (nuk deklarohet i kaluar): Auth/shell/landing baseline has no serious automated findings; focus visible; reduced-motion fixture verified.
Pranimi kërkon edhe gate-et: RG-14. Asnjë gate nuk është shënuar Passed nga ky audit.</s:t>
        </s:is>
      </s:c>
      <s:c r="AC22" s="56" t="inlineStr">
        <s:is>
          <s:t>hq-deep-audit-live-e2e-rerun.log: 4/4. Business/media/validation/revision conflict dhe pagination 13 postime; axe dhe overflow në overview/content/gallery/calendar/social-posts/billing/settings-security, 1440px/390px Chromium. Nuk është Firefox/WebKit/real-device/fault/UAT matrix.
Validimi 2026-09-08: Axe WCAG 2 A/AA nuk gjeti çështje serious/critical në landing, login, signup ose dashboard; fokusi i tastierës ishte i dukshëm, reduced-motion kufizoi animacionet dhe layout-i nuk pati overflow në Chromium desktop/mobile. 4/4 prova të dedikuara dhe 14/14 E2E kaluan kundër image-it production.</s:t>
        </s:is>
      </s:c>
      <s:c r="AD22" s="56" t="inlineStr">
        <s:is>
          <s:t>apps/web/tests/e2e/live.spec.ts
apps/web/app/assets/css/main.css
docs/VALIDATION.md
hq-optional-e2e.log
apps/web/tests/e2e/accessibility-baseline.spec.ts; apps/web/app/assets/css/main.css; apps/web/app/components/AuthSurface.vue; docs/VALIDATION.md</s:t>
        </s:is>
      </s:c>
      <s:c r="AE22" s="42" t="inlineStr">
        <s:is>
          <s:t>Kryer në kod — pret pranim/gate</s:t>
        </s:is>
      </s:c>
      <s:c r="AF22" s="42" t="inlineStr">
        <s:is>
          <s:t>Jo për scope-in e rreshtit</s:t>
        </s:is>
      </s:c>
      <s:c r="AG22" s="42" t="inlineStr">
        <s:is>
          <s:t>Po</s:t>
        </s:is>
      </s:c>
      <s:c r="AH22" s="42" t="inlineStr">
        <s:is>
          <s:t>Raporti i vjetër me demo nuk pranon kodin aktual. Duhet rerun i plotë axe, keyboard/screen-reader, contrast dhe checklist manual për rrjedhat reale.</s:t>
        </s:is>
      </s:c>
      <s:c r="AI22" s="42" t="inlineStr">
        <s:is>
          <s:t>docs/backlog-code-handoff-2026-09-08.json#S0-B09</s:t>
        </s:is>
      </s:c>
      <s:c r="AJ22" s="42" t="inlineStr">
        <s:is>
          <s:t>Programmer B / review: Programmer A</s:t>
        </s:is>
      </s:c>
    </s:row>
    <s:row r="23" ht="155.1" customHeight="1" s="48">
      <s:c r="A23" s="17" t="inlineStr">
        <s:is>
          <s:t>S1-A01</s:t>
        </s:is>
      </s:c>
      <s:c r="B23" s="18" t="inlineStr">
        <s:is>
          <s:t>S1</s:t>
        </s:is>
      </s:c>
      <s:c r="C23" s="18" t="inlineStr">
        <s:is>
          <s:t>Identity</s:t>
        </s:is>
      </s:c>
      <s:c r="D23" s="12" t="inlineStr">
        <s:is>
          <s:t>Implement organizations domain/schema/API</s:t>
        </s:is>
      </s:c>
      <s:c r="E23" s="13" t="inlineStr">
        <s:is>
          <s:t>Create organizations table, owner invariant, create/read/update application services and tenant-safe endpoints.</s:t>
        </s:is>
      </s:c>
      <s:c r="F23" s="13" t="inlineStr">
        <s:is>
          <s:t>Create is atomic with Owner membership; slug/name validation; Org B cannot read Org A.</s:t>
        </s:is>
      </s:c>
      <s:c r="G23" s="18" t="inlineStr">
        <s:is>
          <s:t>S0-A05,S0-A07</s:t>
        </s:is>
      </s:c>
      <s:c r="H23" s="18" t="inlineStr">
        <s:is>
          <s:t>P0</s:t>
        </s:is>
      </s:c>
      <s:c r="I23" s="18" t="inlineStr">
        <s:is>
          <s:t>Programmer A</s:t>
        </s:is>
      </s:c>
      <s:c r="J23" s="18" t="inlineStr">
        <s:is>
          <s:t>Programmer B</s:t>
        </s:is>
      </s:c>
      <s:c r="K23" s="18" t="n">
        <s:v>8</s:v>
      </s:c>
      <s:c r="L23" s="28" t="inlineStr">
        <s:is>
          <s:t>In Progress</s:t>
        </s:is>
      </s:c>
      <s:c r="M23" s="13" t="inlineStr">
        <s:is>
          <s:t>API + RLS tests</s:t>
        </s:is>
      </s:c>
      <s:c r="N23" s="18" t="inlineStr">
        <s:is>
          <s:t>RG-02,RG-03</s:t>
        </s:is>
      </s:c>
      <s:c r="O23" s="13" t="inlineStr">
        <s:is>
          <s:t>Organization is tenant boundary.</s:t>
        </s:is>
      </s:c>
      <s:c r="P23" s="18" t="inlineStr">
        <s:is>
          <s:t>organization module</s:t>
        </s:is>
      </s:c>
      <s:c r="Q23" s="14">
        <s:f>INDEX('01_ROADMAP'!$C$5:$C$15,MATCH(B23,'01_ROADMAP'!$A$5:$A$15,0))</s:f>
        <s:v>46286.0</s:v>
      </s:c>
      <s:c r="R23" s="14">
        <s:f>INDEX('01_ROADMAP'!$D$5:$D$15,MATCH(B23,'01_ROADMAP'!$A$5:$A$15,0))</s:f>
        <s:v>46299.0</s:v>
      </s:c>
      <s:c r="S23" s="29" t="inlineStr">
        <s:is>
          <s:t>docs/backlog-deep-audit-2026-09-07.json#S1-A01</s:t>
        </s:is>
      </s:c>
      <s:c r="T23" s="13" t="inlineStr">
        <s:is>
          <s:t>BACKEND</s:t>
        </s:is>
      </s:c>
      <s:c r="U23" s="13" t="inlineStr">
        <s:is>
          <s:t>Organization</s:t>
        </s:is>
      </s:c>
      <s:c r="V23" s="13" t="inlineStr">
        <s:is>
          <s:t>GA</s:t>
        </s:is>
      </s:c>
      <s:c r="W23" s="13" t="inlineStr">
        <s:is>
          <s:t>N/A / API-domain contract consumed by frontend where applicable.</s:t>
        </s:is>
      </s:c>
      <s:c r="X23" s="13" t="inlineStr">
        <s:is>
          <s:t>Acceptance Criteria + Test Evidence + Release Gate</s:t>
        </s:is>
      </s:c>
      <s:c r="Y23" s="54" t="inlineStr">
        <s:is>
          <s:t>Pjesërisht</s:t>
        </s:is>
      </s:c>
      <s:c r="Z23" s="55" t="inlineStr">
        <s:is>
          <s:t>Krijimi atomik i biznesit me pronar unik dhe trial; read/update kontrollon owner.</s:t>
        </s:is>
      </s:c>
      <s:c r="AA23" s="55" t="inlineStr">
        <s:is>
          <s:t>1. Nuk ka organizations+memberships si domain i veçantë, as RLS/role matrix apo lifecycle i plotë organizate.</s:t>
        </s:is>
      </s:c>
      <s:c r="AB23" s="55" t="inlineStr">
        <s:is>
          <s:t>Prova e kërkuar nga backlog-u: API + RLS tests
Kriteri për t'u verifikuar (nuk deklarohet i kaluar): Create is atomic with Owner membership; slug/name validation; Org B cannot read Org A.
Pranimi kërkon edhe gate-et: RG-02,RG-03. Asnjë gate nuk është shënuar Passed nga ky audit.</s:t>
        </s:is>
      </s:c>
      <s:c r="AC23" s="55" t="inlineStr">
        <s:is>
          <s:t>U rishikuan kodi/artefaktet dhe u kërkua implementimi i kësaj detyre. Nuk ka provë të ekzekutuar specifike që mbyll të gjithë kriterin; kontrollet globale nuk e zëvendësojnë atë.</s:t>
        </s:is>
      </s:c>
      <s:c r="AD23" s="55" t="inlineStr">
        <s:is>
          <s:t>apps/web/server/api/business.post.ts
apps/web/server/utils/workspaces.ts
apps/web/database/migrations/0002_businesses.sql</s:t>
        </s:is>
      </s:c>
      <s:c r="AE23" s="42" t="inlineStr">
        <s:is>
          <s:t>Pjesërisht — kërkon zhvillim</s:t>
        </s:is>
      </s:c>
      <s:c r="AF23" s="42" t="inlineStr">
        <s:is>
          <s:t>Po</s:t>
        </s:is>
      </s:c>
      <s:c r="AG23" s="42" t="inlineStr">
        <s:is>
          <s:t>Po, pas implementimit</s:t>
        </s:is>
      </s:c>
      <s:c r="AH23" s="42" t="inlineStr">
        <s:is>
          <s:t>Nuk ka organizations+memberships si domain i veçantë, as RLS/role matrix apo lifecycle i plotë organizate.</s:t>
        </s:is>
      </s:c>
      <s:c r="AI23" s="42" t="inlineStr">
        <s:is>
          <s:t>docs/backlog-code-handoff-2026-09-08.json#S1-A01</s:t>
        </s:is>
      </s:c>
      <s:c r="AJ23" s="42" t="inlineStr">
        <s:is>
          <s:t>Programmer A / review: Programmer B</s:t>
        </s:is>
      </s:c>
    </s:row>
    <s:row r="24" ht="155.1" customHeight="1" s="48">
      <s:c r="A24" s="17" t="inlineStr">
        <s:is>
          <s:t>S1-A02</s:t>
        </s:is>
      </s:c>
      <s:c r="B24" s="18" t="inlineStr">
        <s:is>
          <s:t>S1</s:t>
        </s:is>
      </s:c>
      <s:c r="C24" s="18" t="inlineStr">
        <s:is>
          <s:t>Identity</s:t>
        </s:is>
      </s:c>
      <s:c r="D24" s="12" t="inlineStr">
        <s:is>
          <s:t>Implement memberships and invite lifecycle</s:t>
        </s:is>
      </s:c>
      <s:c r="E24" s="13" t="inlineStr">
        <s:is>
          <s:t>Create membership/invite schema, expiring single-use token hash, accept/revoke/resend flows and owner-protection rules.</s:t>
        </s:is>
      </s:c>
      <s:c r="F24" s="13" t="inlineStr">
        <s:is>
          <s:t>Invite cannot be reused/accepted after expiry; last owner cannot be removed; role changes audited.</s:t>
        </s:is>
      </s:c>
      <s:c r="G24" s="18" t="inlineStr">
        <s:is>
          <s:t>S1-A01</s:t>
        </s:is>
      </s:c>
      <s:c r="H24" s="18" t="inlineStr">
        <s:is>
          <s:t>P0</s:t>
        </s:is>
      </s:c>
      <s:c r="I24" s="18" t="inlineStr">
        <s:is>
          <s:t>Programmer A</s:t>
        </s:is>
      </s:c>
      <s:c r="J24" s="18" t="inlineStr">
        <s:is>
          <s:t>Programmer B</s:t>
        </s:is>
      </s:c>
      <s:c r="K24" s="18" t="n">
        <s:v>9</s:v>
      </s:c>
      <s:c r="L24" s="32" t="inlineStr">
        <s:is>
          <s:t>Deferred</s:t>
        </s:is>
      </s:c>
      <s:c r="M24" s="13" t="inlineStr">
        <s:is>
          <s:t>API/domain/security tests</s:t>
        </s:is>
      </s:c>
      <s:c r="N24" s="18" t="inlineStr">
        <s:is>
          <s:t>RG-03</s:t>
        </s:is>
      </s:c>
      <s:c r="O24" s="13" t="inlineStr">
        <s:is>
          <s:t>Invite token stored hashed.</s:t>
        </s:is>
      </s:c>
      <s:c r="P24" s="18" t="inlineStr">
        <s:is>
          <s:t>membership/invite services</s:t>
        </s:is>
      </s:c>
      <s:c r="Q24" s="14">
        <s:f>INDEX('01_ROADMAP'!$C$5:$C$15,MATCH(B24,'01_ROADMAP'!$A$5:$A$15,0))</s:f>
        <s:v>46286.0</s:v>
      </s:c>
      <s:c r="R24" s="14">
        <s:f>INDEX('01_ROADMAP'!$D$5:$D$15,MATCH(B24,'01_ROADMAP'!$A$5:$A$15,0))</s:f>
        <s:v>46299.0</s:v>
      </s:c>
      <s:c r="S24" s="29" t="inlineStr">
        <s:is>
          <s:t>docs/backlog-deep-audit-2026-09-07.json#S1-A02</s:t>
        </s:is>
      </s:c>
      <s:c r="T24" s="13" t="inlineStr">
        <s:is>
          <s:t>BACKEND</s:t>
        </s:is>
      </s:c>
      <s:c r="U24" s="13" t="inlineStr">
        <s:is>
          <s:t>Platform</s:t>
        </s:is>
      </s:c>
      <s:c r="V24" s="13" t="inlineStr">
        <s:is>
          <s:t>Deferred — posts scope</s:t>
        </s:is>
      </s:c>
      <s:c r="W24" s="13" t="inlineStr">
        <s:is>
          <s:t>N/A / API-domain contract consumed by frontend where applicable.</s:t>
        </s:is>
      </s:c>
      <s:c r="X24" s="13" t="inlineStr">
        <s:is>
          <s:t>Acceptance Criteria + Test Evidence + Release Gate</s:t>
        </s:is>
      </s:c>
      <s:c r="Y24" s="59" t="inlineStr">
        <s:is>
          <s:t>Shtyrë</s:t>
        </s:is>
      </s:c>
      <s:c r="Z24" s="56" t="inlineStr">
        <s:is>
          <s:t>Ekipi, ftesat dhe qasja multi-brand janë shtyrë nga rrjedha aktive sipas fokusit vetëm te postimet.</s:t>
        </s:is>
      </s:c>
      <s:c r="AA24" s="56" t="inlineStr">
        <s:is>
          <s:t>1. Pas rikthimit të ekipit në scope: membership/invite schema, token hash njëpërdorimësh me afat, accept/revoke/resend, last-owner guard dhe audit i roleve.</s:t>
        </s:is>
      </s:c>
      <s:c r="AB24" s="56" t="inlineStr">
        <s:is>
          <s:t>Prova e kërkuar nga backlog-u: API/domain/security tests
Kriteri për t'u verifikuar (nuk deklarohet i kaluar): Invite cannot be reused/accepted after expiry; last owner cannot be removed; role changes audited.
Pranimi kërkon edhe gate-et: RG-03. Asnjë gate nuk është shënuar Passed nga ky audit.</s:t>
        </s:is>
      </s:c>
      <s:c r="AC24" s="56" t="inlineStr">
        <s:is>
          <s:t>Shtyrë sipas scope-it; nuk është realizuar. Kriteret dhe hapat e këtij rreshti vlejnë kur moduli të rikthehet në scope.</s:t>
        </s:is>
      </s:c>
      <s:c r="AD24" s="56" t="inlineStr">
        <s:is>
          <s:t>Nuk u gjet implementim specifik; shiko kriterin dhe hapat në AA/AB.</s:t>
        </s:is>
      </s:c>
      <s:c r="AE24" s="42" t="inlineStr">
        <s:is>
          <s:t>Shtyrë nga scope-i aktual</s:t>
        </s:is>
      </s:c>
      <s:c r="AF24" s="42" t="inlineStr">
        <s:is>
          <s:t>Jo në scope-in posts-only</s:t>
        </s:is>
      </s:c>
      <s:c r="AG24" s="42" t="inlineStr">
        <s:is>
          <s:t>Jo tani</s:t>
        </s:is>
      </s:c>
      <s:c r="AH24" s="42" t="inlineStr">
        <s:is>
          <s:t>Pas rikthimit të ekipit në scope: membership/invite schema, token hash njëpërdorimësh me afat, accept/revoke/resend, last-owner guard dhe audit i roleve.</s:t>
        </s:is>
      </s:c>
      <s:c r="AI24" s="42" t="inlineStr">
        <s:is>
          <s:t>docs/backlog-code-handoff-2026-09-08.json#S1-A02</s:t>
        </s:is>
      </s:c>
      <s:c r="AJ24" s="42" t="inlineStr">
        <s:is>
          <s:t>Programmer A / review: Programmer B</s:t>
        </s:is>
      </s:c>
    </s:row>
    <s:row r="25" ht="155.1" customHeight="1" s="48">
      <s:c r="A25" s="17" t="inlineStr">
        <s:is>
          <s:t>S1-A03</s:t>
        </s:is>
      </s:c>
      <s:c r="B25" s="18" t="inlineStr">
        <s:is>
          <s:t>S1</s:t>
        </s:is>
      </s:c>
      <s:c r="C25" s="18" t="inlineStr">
        <s:is>
          <s:t>Authorization</s:t>
        </s:is>
      </s:c>
      <s:c r="D25" s="12" t="inlineStr">
        <s:is>
          <s:t>Centralize RBAC capability policy</s:t>
        </s:is>
      </s:c>
      <s:c r="E25" s="13" t="inlineStr">
        <s:is>
          <s:t>Define capability enum/matrix and AuthorizationService for organization role checks; deny by default.</s:t>
        </s:is>
      </s:c>
      <s:c r="F25" s="13" t="inlineStr">
        <s:is>
          <s:t>All protected endpoints use shared policy; role matrix test covers Owner/Admin/Marketer/Approver/Analyst/Billing.</s:t>
        </s:is>
      </s:c>
      <s:c r="G25" s="18" t="inlineStr">
        <s:is>
          <s:t>S1-A01</s:t>
        </s:is>
      </s:c>
      <s:c r="H25" s="18" t="inlineStr">
        <s:is>
          <s:t>P0</s:t>
        </s:is>
      </s:c>
      <s:c r="I25" s="18" t="inlineStr">
        <s:is>
          <s:t>Programmer A</s:t>
        </s:is>
      </s:c>
      <s:c r="J25" s="18" t="inlineStr">
        <s:is>
          <s:t>Programmer B</s:t>
        </s:is>
      </s:c>
      <s:c r="K25" s="18" t="n">
        <s:v>9</s:v>
      </s:c>
      <s:c r="L25" s="28" t="inlineStr">
        <s:is>
          <s:t>In Progress</s:t>
        </s:is>
      </s:c>
      <s:c r="M25" s="13" t="inlineStr">
        <s:is>
          <s:t>Role matrix parameterized tests</s:t>
        </s:is>
      </s:c>
      <s:c r="N25" s="18" t="inlineStr">
        <s:is>
          <s:t>RG-03</s:t>
        </s:is>
      </s:c>
      <s:c r="O25" s="13" t="inlineStr">
        <s:is>
          <s:t>No endpoint-local ad-hoc role strings.</s:t>
        </s:is>
      </s:c>
      <s:c r="P25" s="18" t="inlineStr">
        <s:is>
          <s:t>authorization service</s:t>
        </s:is>
      </s:c>
      <s:c r="Q25" s="14">
        <s:f>INDEX('01_ROADMAP'!$C$5:$C$15,MATCH(B25,'01_ROADMAP'!$A$5:$A$15,0))</s:f>
        <s:v>46286.0</s:v>
      </s:c>
      <s:c r="R25" s="14">
        <s:f>INDEX('01_ROADMAP'!$D$5:$D$15,MATCH(B25,'01_ROADMAP'!$A$5:$A$15,0))</s:f>
        <s:v>46299.0</s:v>
      </s:c>
      <s:c r="S25" s="29" t="inlineStr">
        <s:is>
          <s:t>docs/backlog-deep-audit-2026-09-07.json#S1-A03</s:t>
        </s:is>
      </s:c>
      <s:c r="T25" s="13" t="inlineStr">
        <s:is>
          <s:t>SECURITY</s:t>
        </s:is>
      </s:c>
      <s:c r="U25" s="13" t="inlineStr">
        <s:is>
          <s:t>Auth</s:t>
        </s:is>
      </s:c>
      <s:c r="V25" s="13" t="inlineStr">
        <s:is>
          <s:t>GA</s:t>
        </s:is>
      </s:c>
      <s:c r="W25" s="13" t="inlineStr">
        <s:is>
          <s:t>N/A / API-domain contract consumed by frontend where applicable.</s:t>
        </s:is>
      </s:c>
      <s:c r="X25" s="13" t="inlineStr">
        <s:is>
          <s:t>Acceptance Criteria + Test Evidence + Release Gate</s:t>
        </s:is>
      </s:c>
      <s:c r="Y25" s="54" t="inlineStr">
        <s:is>
          <s:t>Pjesërisht</s:t>
        </s:is>
      </s:c>
      <s:c r="Z25" s="55" t="inlineStr">
        <s:is>
          <s:t>requireUser dhe kontrolle owner/business në server; veprimet e paautorizuara bllokohen.</s:t>
        </s:is>
      </s:c>
      <s:c r="AA25" s="55" t="inlineStr">
        <s:is>
          <s:t>1. Mungon AuthorizationService me Owner/Admin/Marketer/Approver/Analyst/Billing dhe matrica e provuar. Kjo kërkesë enterprise mbetet e hapur.</s:t>
        </s:is>
      </s:c>
      <s:c r="AB25" s="55" t="inlineStr">
        <s:is>
          <s:t>Prova e kërkuar nga backlog-u: Role matrix parameterized tests
Kriteri për t'u verifikuar (nuk deklarohet i kaluar): All protected endpoints use shared policy; role matrix test covers Owner/Admin/Marketer/Approver/Analyst/Billing.
Pranimi kërkon edhe gate-et: RG-03. Asnjë gate nuk është shënuar Passed nga ky audit.</s:t>
        </s:is>
      </s:c>
      <s:c r="AC25" s="55" t="inlineStr">
        <s:is>
          <s:t>U rishikuan kodi/artefaktet dhe u kërkua implementimi i kësaj detyre. Nuk ka provë të ekzekutuar specifike që mbyll të gjithë kriterin; kontrollet globale nuk e zëvendësojnë atë.</s:t>
        </s:is>
      </s:c>
      <s:c r="AD25" s="55" t="inlineStr">
        <s:is>
          <s:t>apps/web/server/utils/access.ts
apps/web/server/utils/workspaces.ts</s:t>
        </s:is>
      </s:c>
      <s:c r="AE25" s="42" t="inlineStr">
        <s:is>
          <s:t>Pjesërisht — kërkon zhvillim</s:t>
        </s:is>
      </s:c>
      <s:c r="AF25" s="42" t="inlineStr">
        <s:is>
          <s:t>Po</s:t>
        </s:is>
      </s:c>
      <s:c r="AG25" s="42" t="inlineStr">
        <s:is>
          <s:t>Po, pas implementimit</s:t>
        </s:is>
      </s:c>
      <s:c r="AH25" s="42" t="inlineStr">
        <s:is>
          <s:t>Mungon AuthorizationService me Owner/Admin/Marketer/Approver/Analyst/Billing dhe matrica e provuar. Kjo kërkesë enterprise mbetet e hapur.</s:t>
        </s:is>
      </s:c>
      <s:c r="AI25" s="42" t="inlineStr">
        <s:is>
          <s:t>docs/backlog-code-handoff-2026-09-08.json#S1-A03</s:t>
        </s:is>
      </s:c>
      <s:c r="AJ25" s="42" t="inlineStr">
        <s:is>
          <s:t>Programmer A / review: Programmer B</s:t>
        </s:is>
      </s:c>
    </s:row>
    <s:row r="26" ht="155.1" customHeight="1" s="48">
      <s:c r="A26" s="17" t="inlineStr">
        <s:is>
          <s:t>S1-A04</s:t>
        </s:is>
      </s:c>
      <s:c r="B26" s="18" t="inlineStr">
        <s:is>
          <s:t>S1</s:t>
        </s:is>
      </s:c>
      <s:c r="C26" s="18" t="inlineStr">
        <s:is>
          <s:t>Authorization</s:t>
        </s:is>
      </s:c>
      <s:c r="D26" s="12" t="inlineStr">
        <s:is>
          <s:t>Implement restricted brand access</s:t>
        </s:is>
      </s:c>
      <s:c r="E26" s="13" t="inlineStr">
        <s:is>
          <s:t>Add ALL_BRANDS/RESTRICTED membership scope and brand access rows; integrate into tenant resource authorization.</s:t>
        </s:is>
      </s:c>
      <s:c r="F26" s="13" t="inlineStr">
        <s:is>
          <s:t>Restricted member cannot discover/read/write unassigned brand; authorized brand works.</s:t>
        </s:is>
      </s:c>
      <s:c r="G26" s="18" t="inlineStr">
        <s:is>
          <s:t>S1-A03</s:t>
        </s:is>
      </s:c>
      <s:c r="H26" s="18" t="inlineStr">
        <s:is>
          <s:t>P0</s:t>
        </s:is>
      </s:c>
      <s:c r="I26" s="18" t="inlineStr">
        <s:is>
          <s:t>Programmer A</s:t>
        </s:is>
      </s:c>
      <s:c r="J26" s="18" t="inlineStr">
        <s:is>
          <s:t>Programmer B</s:t>
        </s:is>
      </s:c>
      <s:c r="K26" s="18" t="n">
        <s:v>7</s:v>
      </s:c>
      <s:c r="L26" s="32" t="inlineStr">
        <s:is>
          <s:t>Deferred</s:t>
        </s:is>
      </s:c>
      <s:c r="M26" s="13" t="inlineStr">
        <s:is>
          <s:t>Cross-brand negative tests</s:t>
        </s:is>
      </s:c>
      <s:c r="N26" s="18" t="inlineStr">
        <s:is>
          <s:t>RG-02,RG-03</s:t>
        </s:is>
      </s:c>
      <s:c r="O26" s="13" t="inlineStr">
        <s:is>
          <s:t>Brand scope checked server + RLS/repository.</s:t>
        </s:is>
      </s:c>
      <s:c r="P26" s="18" t="inlineStr">
        <s:is>
          <s:t>brand access policy</s:t>
        </s:is>
      </s:c>
      <s:c r="Q26" s="14">
        <s:f>INDEX('01_ROADMAP'!$C$5:$C$15,MATCH(B26,'01_ROADMAP'!$A$5:$A$15,0))</s:f>
        <s:v>46286.0</s:v>
      </s:c>
      <s:c r="R26" s="14">
        <s:f>INDEX('01_ROADMAP'!$D$5:$D$15,MATCH(B26,'01_ROADMAP'!$A$5:$A$15,0))</s:f>
        <s:v>46299.0</s:v>
      </s:c>
      <s:c r="S26" s="29" t="inlineStr">
        <s:is>
          <s:t>docs/backlog-deep-audit-2026-09-07.json#S1-A04</s:t>
        </s:is>
      </s:c>
      <s:c r="T26" s="13" t="inlineStr">
        <s:is>
          <s:t>SECURITY</s:t>
        </s:is>
      </s:c>
      <s:c r="U26" s="13" t="inlineStr">
        <s:is>
          <s:t>Auth</s:t>
        </s:is>
      </s:c>
      <s:c r="V26" s="13" t="inlineStr">
        <s:is>
          <s:t>Deferred — posts scope</s:t>
        </s:is>
      </s:c>
      <s:c r="W26" s="13" t="inlineStr">
        <s:is>
          <s:t>N/A / API-domain contract consumed by frontend where applicable.</s:t>
        </s:is>
      </s:c>
      <s:c r="X26" s="13" t="inlineStr">
        <s:is>
          <s:t>Acceptance Criteria + Test Evidence + Release Gate</s:t>
        </s:is>
      </s:c>
      <s:c r="Y26" s="59" t="inlineStr">
        <s:is>
          <s:t>Shtyrë</s:t>
        </s:is>
      </s:c>
      <s:c r="Z26" s="56" t="inlineStr">
        <s:is>
          <s:t>Ekipi, ftesat dhe qasja multi-brand janë shtyrë nga rrjedha aktive sipas fokusit vetëm te postimet.</s:t>
        </s:is>
      </s:c>
      <s:c r="AA26" s="56" t="inlineStr">
        <s:is>
          <s:t>1. Pas rikthimit të multi-brand: ALL_BRANDS/RESTRICTED, brand-access rows dhe guards për discovery/read/write. Provo anëtarin e kufizuar pas ndryshimit të lejeve.</s:t>
        </s:is>
      </s:c>
      <s:c r="AB26" s="56" t="inlineStr">
        <s:is>
          <s:t>Prova e kërkuar nga backlog-u: Cross-brand negative tests
Kriteri për t'u verifikuar (nuk deklarohet i kaluar): Restricted member cannot discover/read/write unassigned brand; authorized brand works.
Pranimi kërkon edhe gate-et: RG-02,RG-03. Asnjë gate nuk është shënuar Passed nga ky audit.</s:t>
        </s:is>
      </s:c>
      <s:c r="AC26" s="56" t="inlineStr">
        <s:is>
          <s:t>Shtyrë sipas scope-it; nuk është realizuar. Kriteret dhe hapat e këtij rreshti vlejnë kur moduli të rikthehet në scope.</s:t>
        </s:is>
      </s:c>
      <s:c r="AD26" s="56" t="inlineStr">
        <s:is>
          <s:t>Nuk u gjet implementim specifik; shiko kriterin dhe hapat në AA/AB.</s:t>
        </s:is>
      </s:c>
      <s:c r="AE26" s="42" t="inlineStr">
        <s:is>
          <s:t>Shtyrë nga scope-i aktual</s:t>
        </s:is>
      </s:c>
      <s:c r="AF26" s="42" t="inlineStr">
        <s:is>
          <s:t>Jo në scope-in posts-only</s:t>
        </s:is>
      </s:c>
      <s:c r="AG26" s="42" t="inlineStr">
        <s:is>
          <s:t>Jo tani</s:t>
        </s:is>
      </s:c>
      <s:c r="AH26" s="42" t="inlineStr">
        <s:is>
          <s:t>Pas rikthimit të multi-brand: ALL_BRANDS/RESTRICTED, brand-access rows dhe guards për discovery/read/write. Provo anëtarin e kufizuar pas ndryshimit të lejeve.</s:t>
        </s:is>
      </s:c>
      <s:c r="AI26" s="42" t="inlineStr">
        <s:is>
          <s:t>docs/backlog-code-handoff-2026-09-08.json#S1-A04</s:t>
        </s:is>
      </s:c>
      <s:c r="AJ26" s="42" t="inlineStr">
        <s:is>
          <s:t>Programmer A / review: Programmer B</s:t>
        </s:is>
      </s:c>
    </s:row>
    <s:row r="27" ht="155.1" customHeight="1" s="48">
      <s:c r="A27" s="17" t="inlineStr">
        <s:is>
          <s:t>S1-A05</s:t>
        </s:is>
      </s:c>
      <s:c r="B27" s="18" t="inlineStr">
        <s:is>
          <s:t>S1</s:t>
        </s:is>
      </s:c>
      <s:c r="C27" s="18" t="inlineStr">
        <s:is>
          <s:t>Brands</s:t>
        </s:is>
      </s:c>
      <s:c r="D27" s="12" t="inlineStr">
        <s:is>
          <s:t>Implement brand domain/schema/API</s:t>
        </s:is>
      </s:c>
      <s:c r="E27" s="13" t="inlineStr">
        <s:is>
          <s:t>Create brands, profile/settings, timezone/locale/category/status and CRUD application services.</s:t>
        </s:is>
      </s:c>
      <s:c r="F27" s="13" t="inlineStr">
        <s:is>
          <s:t>Brand always belongs to org; IANA timezone validation; delete/archive semantics enforced.</s:t>
        </s:is>
      </s:c>
      <s:c r="G27" s="18" t="inlineStr">
        <s:is>
          <s:t>S1-A01,S1-A04</s:t>
        </s:is>
      </s:c>
      <s:c r="H27" s="18" t="inlineStr">
        <s:is>
          <s:t>P0</s:t>
        </s:is>
      </s:c>
      <s:c r="I27" s="18" t="inlineStr">
        <s:is>
          <s:t>Programmer A</s:t>
        </s:is>
      </s:c>
      <s:c r="J27" s="18" t="inlineStr">
        <s:is>
          <s:t>Programmer B</s:t>
        </s:is>
      </s:c>
      <s:c r="K27" s="18" t="n">
        <s:v>8</s:v>
      </s:c>
      <s:c r="L27" s="28" t="inlineStr">
        <s:is>
          <s:t>In Progress</s:t>
        </s:is>
      </s:c>
      <s:c r="M27" s="13" t="inlineStr">
        <s:is>
          <s:t>API/RLS/domain tests</s:t>
        </s:is>
      </s:c>
      <s:c r="N27" s="18" t="inlineStr">
        <s:is>
          <s:t>RG-02</s:t>
        </s:is>
      </s:c>
      <s:c r="O27" s="13" t="inlineStr">
        <s:is>
          <s:t>brand_id cannot escape organization.</s:t>
        </s:is>
      </s:c>
      <s:c r="P27" s="18" t="inlineStr">
        <s:is>
          <s:t>brand module</s:t>
        </s:is>
      </s:c>
      <s:c r="Q27" s="14">
        <s:f>INDEX('01_ROADMAP'!$C$5:$C$15,MATCH(B27,'01_ROADMAP'!$A$5:$A$15,0))</s:f>
        <s:v>46286.0</s:v>
      </s:c>
      <s:c r="R27" s="14">
        <s:f>INDEX('01_ROADMAP'!$D$5:$D$15,MATCH(B27,'01_ROADMAP'!$A$5:$A$15,0))</s:f>
        <s:v>46299.0</s:v>
      </s:c>
      <s:c r="S27" s="29" t="inlineStr">
        <s:is>
          <s:t>docs/backlog-deep-audit-2026-09-07.json#S1-A05</s:t>
        </s:is>
      </s:c>
      <s:c r="T27" s="13" t="inlineStr">
        <s:is>
          <s:t>BACKEND</s:t>
        </s:is>
      </s:c>
      <s:c r="U27" s="13" t="inlineStr">
        <s:is>
          <s:t>Brand</s:t>
        </s:is>
      </s:c>
      <s:c r="V27" s="13" t="inlineStr">
        <s:is>
          <s:t>GA</s:t>
        </s:is>
      </s:c>
      <s:c r="W27" s="13" t="inlineStr">
        <s:is>
          <s:t>N/A / API-domain contract consumed by frontend where applicable.</s:t>
        </s:is>
      </s:c>
      <s:c r="X27" s="13" t="inlineStr">
        <s:is>
          <s:t>Acceptance Criteria + Test Evidence + Release Gate</s:t>
        </s:is>
      </s:c>
      <s:c r="Y27" s="54" t="inlineStr">
        <s:is>
          <s:t>Pjesërisht</s:t>
        </s:is>
      </s:c>
      <s:c r="Z27" s="55" t="inlineStr">
        <s:is>
          <s:t>Profili i biznesit, zëri, audienca, facts dhe timezone ruhen në PostgreSQL; IANA timezone validohet.</s:t>
        </s:is>
      </s:c>
      <s:c r="AA27" s="55" t="inlineStr">
        <s:is>
          <s:t>1. Brand si nën-entitet i org, multi-brand, archive/delete dhe RLS nuk janë implementuar.</s:t>
        </s:is>
      </s:c>
      <s:c r="AB27" s="55" t="inlineStr">
        <s:is>
          <s:t>Prova e kërkuar nga backlog-u: API/RLS/domain tests
Kriteri për t'u verifikuar (nuk deklarohet i kaluar): Brand always belongs to org; IANA timezone validation; delete/archive semantics enforced.
Pranimi kërkon edhe gate-et: RG-02. Asnjë gate nuk është shënuar Passed nga ky audit.</s:t>
        </s:is>
      </s:c>
      <s:c r="AC27" s="55" t="inlineStr">
        <s:is>
          <s:t>U rishikuan kodi/artefaktet dhe u kërkua implementimi i kësaj detyre. Nuk ka provë të ekzekutuar specifike që mbyll të gjithë kriterin; kontrollet globale nuk e zëvendësojnë atë.</s:t>
        </s:is>
      </s:c>
      <s:c r="AD27" s="55" t="inlineStr">
        <s:is>
          <s:t>apps/web/server/api/workspaces/[id].put.ts
apps/web/shared/schemas/workspace.ts</s:t>
        </s:is>
      </s:c>
      <s:c r="AE27" s="42" t="inlineStr">
        <s:is>
          <s:t>Pjesërisht — kërkon zhvillim</s:t>
        </s:is>
      </s:c>
      <s:c r="AF27" s="42" t="inlineStr">
        <s:is>
          <s:t>Po</s:t>
        </s:is>
      </s:c>
      <s:c r="AG27" s="42" t="inlineStr">
        <s:is>
          <s:t>Po, pas implementimit</s:t>
        </s:is>
      </s:c>
      <s:c r="AH27" s="42" t="inlineStr">
        <s:is>
          <s:t>Brand si nën-entitet i org, multi-brand, archive/delete dhe RLS nuk janë implementuar.</s:t>
        </s:is>
      </s:c>
      <s:c r="AI27" s="42" t="inlineStr">
        <s:is>
          <s:t>docs/backlog-code-handoff-2026-09-08.json#S1-A05</s:t>
        </s:is>
      </s:c>
      <s:c r="AJ27" s="42" t="inlineStr">
        <s:is>
          <s:t>Programmer A / review: Programmer B</s:t>
        </s:is>
      </s:c>
    </s:row>
    <s:row r="28" ht="155.1" customHeight="1" s="48">
      <s:c r="A28" s="17" t="inlineStr">
        <s:is>
          <s:t>S1-A06</s:t>
        </s:is>
      </s:c>
      <s:c r="B28" s="18" t="inlineStr">
        <s:is>
          <s:t>S1</s:t>
        </s:is>
      </s:c>
      <s:c r="C28" s="18" t="inlineStr">
        <s:is>
          <s:t>Business Brain</s:t>
        </s:is>
      </s:c>
      <s:c r="D28" s="12" t="inlineStr">
        <s:is>
          <s:t>Create verified knowledge schema</s:t>
        </s:is>
      </s:c>
      <s:c r="E28" s="13" t="inlineStr">
        <s:is>
          <s:t>Add brand_facts, voice versions, audiences, offers, guardrails and status/provenance fields with domain transitions.</s:t>
        </s:is>
      </s:c>
      <s:c r="F28" s="13" t="inlineStr">
        <s:is>
          <s:t>Only allowed fact state transitions; active offer validates dates/currency; provenance required for inferred fact.</s:t>
        </s:is>
      </s:c>
      <s:c r="G28" s="18" t="inlineStr">
        <s:is>
          <s:t>S1-A05</s:t>
        </s:is>
      </s:c>
      <s:c r="H28" s="18" t="inlineStr">
        <s:is>
          <s:t>P0</s:t>
        </s:is>
      </s:c>
      <s:c r="I28" s="18" t="inlineStr">
        <s:is>
          <s:t>Programmer A</s:t>
        </s:is>
      </s:c>
      <s:c r="J28" s="18" t="inlineStr">
        <s:is>
          <s:t>Programmer B</s:t>
        </s:is>
      </s:c>
      <s:c r="K28" s="18" t="n">
        <s:v>10</s:v>
      </s:c>
      <s:c r="L28" s="28" t="inlineStr">
        <s:is>
          <s:t>In Progress</s:t>
        </s:is>
      </s:c>
      <s:c r="M28" s="13" t="inlineStr">
        <s:is>
          <s:t>Domain + constraint tests</s:t>
        </s:is>
      </s:c>
      <s:c r="N28" s="18" t="inlineStr">
        <s:is>
          <s:t>RG-06</s:t>
        </s:is>
      </s:c>
      <s:c r="O28" s="13" t="inlineStr">
        <s:is>
          <s:t>Commercial facts require verification before use.</s:t>
        </s:is>
      </s:c>
      <s:c r="P28" s="18" t="inlineStr">
        <s:is>
          <s:t>Business Brain schema/domain</s:t>
        </s:is>
      </s:c>
      <s:c r="Q28" s="14">
        <s:f>INDEX('01_ROADMAP'!$C$5:$C$15,MATCH(B28,'01_ROADMAP'!$A$5:$A$15,0))</s:f>
        <s:v>46286.0</s:v>
      </s:c>
      <s:c r="R28" s="14">
        <s:f>INDEX('01_ROADMAP'!$D$5:$D$15,MATCH(B28,'01_ROADMAP'!$A$5:$A$15,0))</s:f>
        <s:v>46299.0</s:v>
      </s:c>
      <s:c r="S28" s="29" t="inlineStr">
        <s:is>
          <s:t>docs/backlog-deep-audit-2026-09-07.json#S1-A06</s:t>
        </s:is>
      </s:c>
      <s:c r="T28" s="13" t="inlineStr">
        <s:is>
          <s:t>BACKEND</s:t>
        </s:is>
      </s:c>
      <s:c r="U28" s="13" t="inlineStr">
        <s:is>
          <s:t>AI Platform</s:t>
        </s:is>
      </s:c>
      <s:c r="V28" s="13" t="inlineStr">
        <s:is>
          <s:t>GA</s:t>
        </s:is>
      </s:c>
      <s:c r="W28" s="13" t="inlineStr">
        <s:is>
          <s:t>N/A / API-domain contract consumed by frontend where applicable.</s:t>
        </s:is>
      </s:c>
      <s:c r="X28" s="13" t="inlineStr">
        <s:is>
          <s:t>Acceptance Criteria + Test Evidence + Release Gate</s:t>
        </s:is>
      </s:c>
      <s:c r="Y28" s="54" t="inlineStr">
        <s:is>
          <s:t>Pjesërisht</s:t>
        </s:is>
      </s:c>
      <s:c r="Z28" s="56" t="inlineStr">
        <s:is>
          <s:t>Facts kanë text/source/verified dhe profili ruan voice/audience.</s:t>
        </s:is>
      </s:c>
      <s:c r="AA28" s="56" t="inlineStr">
        <s:is>
          <s:t>1. Nuk ka fact lifecycle/candidates/confidence, voice versions, oferta me afat/monedhë apo guardrails domain. Checkbox verified nuk është verifikim i pavarur.</s:t>
        </s:is>
      </s:c>
      <s:c r="AB28" s="56" t="inlineStr">
        <s:is>
          <s:t>Prova e kërkuar nga backlog-u: Domain + constraint tests
Kriteri për t'u verifikuar (nuk deklarohet i kaluar): Only allowed fact state transitions; active offer validates dates/currency; provenance required for inferred fact.
Pranimi kërkon edhe gate-et: RG-06. Asnjë gate nuk është shënuar Passed nga ky audit.</s:t>
        </s:is>
      </s:c>
      <s:c r="AC28" s="56" t="inlineStr">
        <s:is>
          <s:t>U rishikuan kodi/artefaktet dhe u kërkua implementimi i kësaj detyre. Nuk ka provë të ekzekutuar specifike që mbyll të gjithë kriterin; kontrollet globale nuk e zëvendësojnë atë.</s:t>
        </s:is>
      </s:c>
      <s:c r="AD28" s="56" t="inlineStr">
        <s:is>
          <s:t>apps/web/shared/schemas/workspace.ts
apps/web/app/pages/app/[org]/[brand]/brand.vue</s:t>
        </s:is>
      </s:c>
      <s:c r="AE28" s="42" t="inlineStr">
        <s:is>
          <s:t>Pjesërisht — kërkon zhvillim</s:t>
        </s:is>
      </s:c>
      <s:c r="AF28" s="42" t="inlineStr">
        <s:is>
          <s:t>Po</s:t>
        </s:is>
      </s:c>
      <s:c r="AG28" s="42" t="inlineStr">
        <s:is>
          <s:t>Po, pas implementimit</s:t>
        </s:is>
      </s:c>
      <s:c r="AH28" s="42" t="inlineStr">
        <s:is>
          <s:t>Nuk ka fact lifecycle/candidates/confidence, voice versions, oferta me afat/monedhë apo guardrails domain. Checkbox verified nuk është verifikim i pavarur.</s:t>
        </s:is>
      </s:c>
      <s:c r="AI28" s="42" t="inlineStr">
        <s:is>
          <s:t>docs/backlog-code-handoff-2026-09-08.json#S1-A06</s:t>
        </s:is>
      </s:c>
      <s:c r="AJ28" s="42" t="inlineStr">
        <s:is>
          <s:t>Programmer A / review: Programmer B</s:t>
        </s:is>
      </s:c>
    </s:row>
    <s:row r="29" ht="180" customHeight="1" s="48">
      <s:c r="A29" s="17" t="inlineStr">
        <s:is>
          <s:t>S1-A07</s:t>
        </s:is>
      </s:c>
      <s:c r="B29" s="18" t="inlineStr">
        <s:is>
          <s:t>S1</s:t>
        </s:is>
      </s:c>
      <s:c r="C29" s="18" t="inlineStr">
        <s:is>
          <s:t>Billing Core</s:t>
        </s:is>
      </s:c>
      <s:c r="D29" s="12" t="inlineStr">
        <s:is>
          <s:t>Create entitlement service skeleton</s:t>
        </s:is>
      </s:c>
      <s:c r="E29" s="13" t="inlineStr">
        <s:is>
          <s:t>Implement DB-backed plan/version and typed entitlement resolver, plus a configurable 72-hour trial granted atomically on first business creation. Deduplicate trial claims by normalized email and signed browser identifier; claim Facebook/Instagram identities only when they connect. Keep missing provider setup distinct from feature entitlement.</s:t>
        </s:is>
      </s:c>
      <s:c r="F29" s="13" t="inlineStr">
        <s:is>
          <s:t>Unknown entitlement fails safely; plan limits come from the database. Trial is not extended on retry; duplicate email/browser/social identities cannot obtain another grant. Expiry blocks new entitled writes while preserving reads/export. Social connection is optional; browser cookies are not represented as hardware identity. Plan/version and typed limit tests remain required.</s:t>
        </s:is>
      </s:c>
      <s:c r="G29" s="18" t="inlineStr">
        <s:is>
          <s:t>S1-A01</s:t>
        </s:is>
      </s:c>
      <s:c r="H29" s="18" t="inlineStr">
        <s:is>
          <s:t>P1</s:t>
        </s:is>
      </s:c>
      <s:c r="I29" s="18" t="inlineStr">
        <s:is>
          <s:t>Programmer A</s:t>
        </s:is>
      </s:c>
      <s:c r="J29" s="18" t="inlineStr">
        <s:is>
          <s:t>Programmer B</s:t>
        </s:is>
      </s:c>
      <s:c r="K29" s="18" t="n">
        <s:v>7</s:v>
      </s:c>
      <s:c r="L29" s="28" t="inlineStr">
        <s:is>
          <s:t>In Review</s:t>
        </s:is>
      </s:c>
      <s:c r="M29" s="13" t="inlineStr">
        <s:is>
          <s:t>Entitlement unit/integration tests</s:t>
        </s:is>
      </s:c>
      <s:c r="N29" s="18" t="inlineStr">
        <s:is>
          <s:t>RG-08</s:t>
        </s:is>
      </s:c>
      <s:c r="O29" s="13" t="inlineStr">
        <s:is>
          <s:t>Server-authoritative limits.</s:t>
        </s:is>
      </s:c>
      <s:c r="P29" s="18" t="inlineStr">
        <s:is>
          <s:t>billing entitlement core</s:t>
        </s:is>
      </s:c>
      <s:c r="Q29" s="14">
        <s:f>INDEX('01_ROADMAP'!$C$5:$C$15,MATCH(B29,'01_ROADMAP'!$A$5:$A$15,0))</s:f>
        <s:v>46286.0</s:v>
      </s:c>
      <s:c r="R29" s="14">
        <s:f>INDEX('01_ROADMAP'!$D$5:$D$15,MATCH(B29,'01_ROADMAP'!$A$5:$A$15,0))</s:f>
        <s:v>46299.0</s:v>
      </s:c>
      <s:c r="S29" s="29" t="inlineStr">
        <s:is>
          <s:t>docs/backlog-partial-progress-2026-09-08.json#S1-A07</s:t>
        </s:is>
      </s:c>
      <s:c r="T29" s="13" t="inlineStr">
        <s:is>
          <s:t>BILLING</s:t>
        </s:is>
      </s:c>
      <s:c r="U29" s="13" t="inlineStr">
        <s:is>
          <s:t>Billing</s:t>
        </s:is>
      </s:c>
      <s:c r="V29" s="13" t="inlineStr">
        <s:is>
          <s:t>GA</s:t>
        </s:is>
      </s:c>
      <s:c r="W29" s="13" t="inlineStr">
        <s:is>
          <s:t>N/A / API-domain contract consumed by frontend where applicable.</s:t>
        </s:is>
      </s:c>
      <s:c r="X29" s="13" t="inlineStr">
        <s:is>
          <s:t>Acceptance Criteria + Test Evidence + Release Gate</s:t>
        </s:is>
      </s:c>
      <s:c r="Y29" s="54" t="inlineStr">
        <s:is>
          <s:t>Implementuar — në pranim</s:t>
        </s:is>
      </s:c>
      <s:c r="Z29" s="55" t="inlineStr">
        <s:is>
          <s:t>Trial-i dhe paid entitlements tani përdorin feature codes dhe limite të tipizuara sipas planit/versionit në PostgreSQL. Skema refuzon katalog të pavlefshëm, trial-i është 72 orë dhe nuk zgjatet në retry.
Klasifikimi 2026-09-08: Entitlement skeleton, katalogu/limitet e tipizuara dhe trial guards janë implementuar; pret RG-08.</s:t>
        </s:is>
      </s:c>
      <s:c r="AA29" s="55" t="inlineStr">
        <s:is>
          <s:t>Mbeten subscription/provider lifecycle, downgrade rules, device abuse hardening dhe prova e integrimit komercial end-to-end; RG-08 mbetet i hapur.</s:t>
        </s:is>
      </s:c>
      <s:c r="AB29" s="55" t="inlineStr">
        <s:is>
          <s:t>Prova e kërkuar nga backlog-u: Entitlement unit/integration tests
Kriteri për t'u verifikuar (nuk deklarohet i kaluar): Unknown entitlement fails safely; plan limits come from the database. Trial is not extended on retry; duplicate email/browser/social identities cannot obtain another grant. Expiry blocks new entitled writes while preserving reads/export. Social connection is optional; browser cookies are not represented as hardware identity. Plan/version and typed limit tests remain required.
DA-15: Për çdo plan/version provo features/limits të shfaqura kundrejt serverit, konfigurim të pavlefshëm, downgrade dhe expiry; pagesat kërkojnë sandbox më vete.
Pranimi kërkon edhe gate-et: RG-08. Asnjë gate nuk është shënuar Passed nga ky audit.</s:t>
        </s:is>
      </s:c>
      <s:c r="AC29" s="55" t="inlineStr">
        <s:is>
          <s:t>Integration tests lexojnë plan/version/limits nga DB, validojnë katalogun EUR dhe provojnë trial/paid/expired/blocked/revoked. 47/47 kaluan.</s:t>
        </s:is>
      </s:c>
      <s:c r="AD29" s="55" t="inlineStr">
        <s:is>
          <s:t>apps/web/database/migrations/0011_typed_plan_catalog.sql
apps/web/shared/schemas/catalog.ts
apps/web/server/utils/trials.ts
apps/web/tests/integration/server.test.ts</s:t>
        </s:is>
      </s:c>
      <s:c r="AE29" s="42" t="inlineStr">
        <s:is>
          <s:t>Kryer në kod — pret pranim/gate</s:t>
        </s:is>
      </s:c>
      <s:c r="AF29" s="42" t="inlineStr">
        <s:is>
          <s:t>Jo për scope-in e rreshtit</s:t>
        </s:is>
      </s:c>
      <s:c r="AG29" s="42" t="inlineStr">
        <s:is>
          <s:t>Po</s:t>
        </s:is>
      </s:c>
      <s:c r="AH29" s="42" t="inlineStr">
        <s:is>
          <s:t>Mbeten subscription/provider lifecycle, downgrade rules, device abuse hardening dhe prova e integrimit komercial end-to-end; RG-08 mbetet i hapur.</s:t>
        </s:is>
      </s:c>
      <s:c r="AI29" s="42" t="inlineStr">
        <s:is>
          <s:t>docs/backlog-code-handoff-2026-09-08.json#S1-A07</s:t>
        </s:is>
      </s:c>
      <s:c r="AJ29" s="42" t="inlineStr">
        <s:is>
          <s:t>Programmer A / review: Programmer B</s:t>
        </s:is>
      </s:c>
    </s:row>
    <s:row r="30" ht="155.1" customHeight="1" s="48">
      <s:c r="A30" s="17" t="inlineStr">
        <s:is>
          <s:t>S1-A08</s:t>
        </s:is>
      </s:c>
      <s:c r="B30" s="18" t="inlineStr">
        <s:is>
          <s:t>S1</s:t>
        </s:is>
      </s:c>
      <s:c r="C30" s="18" t="inlineStr">
        <s:is>
          <s:t>Audit</s:t>
        </s:is>
      </s:c>
      <s:c r="D30" s="12" t="inlineStr">
        <s:is>
          <s:t>Implement append-only audit events</s:t>
        </s:is>
      </s:c>
      <s:c r="E30" s="13" t="inlineStr">
        <s:is>
          <s:t>Create audit schema/service and hooks for org/member/brand sensitive actions; prevent normal runtime update/delete.</s:t>
        </s:is>
      </s:c>
      <s:c r="F30" s="13" t="inlineStr">
        <s:is>
          <s:t>Required actions produce actor/resource/result event; runtime role cannot mutate historical audit row.</s:t>
        </s:is>
      </s:c>
      <s:c r="G30" s="18" t="inlineStr">
        <s:is>
          <s:t>S1-A01,S1-A03</s:t>
        </s:is>
      </s:c>
      <s:c r="H30" s="18" t="inlineStr">
        <s:is>
          <s:t>P0</s:t>
        </s:is>
      </s:c>
      <s:c r="I30" s="18" t="inlineStr">
        <s:is>
          <s:t>Programmer A</s:t>
        </s:is>
      </s:c>
      <s:c r="J30" s="18" t="inlineStr">
        <s:is>
          <s:t>Programmer B</s:t>
        </s:is>
      </s:c>
      <s:c r="K30" s="18" t="n">
        <s:v>7</s:v>
      </s:c>
      <s:c r="L30" s="28" t="inlineStr">
        <s:is>
          <s:t>In Progress</s:t>
        </s:is>
      </s:c>
      <s:c r="M30" s="13" t="inlineStr">
        <s:is>
          <s:t>Audit integration/permission tests</s:t>
        </s:is>
      </s:c>
      <s:c r="N30" s="18" t="inlineStr">
        <s:is>
          <s:t>RG-03</s:t>
        </s:is>
      </s:c>
      <s:c r="O30" s="13" t="inlineStr">
        <s:is>
          <s:t>Minimize metadata; no tokens.</s:t>
        </s:is>
      </s:c>
      <s:c r="P30" s="18" t="inlineStr">
        <s:is>
          <s:t>audit module</s:t>
        </s:is>
      </s:c>
      <s:c r="Q30" s="14">
        <s:f>INDEX('01_ROADMAP'!$C$5:$C$15,MATCH(B30,'01_ROADMAP'!$A$5:$A$15,0))</s:f>
        <s:v>46286.0</s:v>
      </s:c>
      <s:c r="R30" s="14">
        <s:f>INDEX('01_ROADMAP'!$D$5:$D$15,MATCH(B30,'01_ROADMAP'!$A$5:$A$15,0))</s:f>
        <s:v>46299.0</s:v>
      </s:c>
      <s:c r="S30" s="29" t="inlineStr">
        <s:is>
          <s:t>docs/backlog-deep-audit-2026-09-07.json#S1-A08</s:t>
        </s:is>
      </s:c>
      <s:c r="T30" s="13" t="inlineStr">
        <s:is>
          <s:t>SECURITY</s:t>
        </s:is>
      </s:c>
      <s:c r="U30" s="13" t="inlineStr">
        <s:is>
          <s:t>Platform</s:t>
        </s:is>
      </s:c>
      <s:c r="V30" s="13" t="inlineStr">
        <s:is>
          <s:t>GA</s:t>
        </s:is>
      </s:c>
      <s:c r="W30" s="13" t="inlineStr">
        <s:is>
          <s:t>N/A / API-domain contract consumed by frontend where applicable.</s:t>
        </s:is>
      </s:c>
      <s:c r="X30" s="13" t="inlineStr">
        <s:is>
          <s:t>Acceptance Criteria + Test Evidence + Release Gate</s:t>
        </s:is>
      </s:c>
      <s:c r="Y30" s="54" t="inlineStr">
        <s:is>
          <s:t>Pjesërisht</s:t>
        </s:is>
      </s:c>
      <s:c r="Z30" s="56" t="inlineStr">
        <s:is>
          <s:t>audit_events shkruhen për workspace.updated dhe rezultatet e publikimit me actor/revision.</s:t>
        </s:is>
      </s:c>
      <s:c r="AA30" s="56" t="inlineStr">
        <s:is>
          <s:t>1. Nuk ka append-only permissions, resource/result të plotë apo hooks për të gjitha veprimet auth/Meta/approval.</s:t>
        </s:is>
      </s:c>
      <s:c r="AB30" s="56" t="inlineStr">
        <s:is>
          <s:t>Prova e kërkuar nga backlog-u: Audit integration/permission tests
Kriteri për t'u verifikuar (nuk deklarohet i kaluar): Required actions produce actor/resource/result event; runtime role cannot mutate historical audit row.
Pranimi kërkon edhe gate-et: RG-03. Asnjë gate nuk është shënuar Passed nga ky audit.</s:t>
        </s:is>
      </s:c>
      <s:c r="AC30" s="56" t="inlineStr">
        <s:is>
          <s:t>U rishikuan kodi/artefaktet dhe u kërkua implementimi i kësaj detyre. Nuk ka provë të ekzekutuar specifike që mbyll të gjithë kriterin; kontrollet globale nuk e zëvendësojnë atë.</s:t>
        </s:is>
      </s:c>
      <s:c r="AD30" s="56" t="inlineStr">
        <s:is>
          <s:t>apps/web/database/migrations/0002_businesses.sql
apps/web/server/api/workspaces/[id].put.ts</s:t>
        </s:is>
      </s:c>
      <s:c r="AE30" s="42" t="inlineStr">
        <s:is>
          <s:t>Pjesërisht — kërkon zhvillim</s:t>
        </s:is>
      </s:c>
      <s:c r="AF30" s="42" t="inlineStr">
        <s:is>
          <s:t>Po</s:t>
        </s:is>
      </s:c>
      <s:c r="AG30" s="42" t="inlineStr">
        <s:is>
          <s:t>Po, pas implementimit</s:t>
        </s:is>
      </s:c>
      <s:c r="AH30" s="42" t="inlineStr">
        <s:is>
          <s:t>Nuk ka append-only permissions, resource/result të plotë apo hooks për të gjitha veprimet auth/Meta/approval.</s:t>
        </s:is>
      </s:c>
      <s:c r="AI30" s="42" t="inlineStr">
        <s:is>
          <s:t>docs/backlog-code-handoff-2026-09-08.json#S1-A08</s:t>
        </s:is>
      </s:c>
      <s:c r="AJ30" s="42" t="inlineStr">
        <s:is>
          <s:t>Programmer A / review: Programmer B</s:t>
        </s:is>
      </s:c>
    </s:row>
    <s:row r="31" ht="155.1" customHeight="1" s="48">
      <s:c r="A31" s="17" t="inlineStr">
        <s:is>
          <s:t>S1-A09</s:t>
        </s:is>
      </s:c>
      <s:c r="B31" s="18" t="inlineStr">
        <s:is>
          <s:t>S1</s:t>
        </s:is>
      </s:c>
      <s:c r="C31" s="18" t="inlineStr">
        <s:is>
          <s:t>Security</s:t>
        </s:is>
      </s:c>
      <s:c r="D31" s="12" t="inlineStr">
        <s:is>
          <s:t>Expand tenant/RBAC negative suite</s:t>
        </s:is>
      </s:c>
      <s:c r="E31" s="13" t="inlineStr">
        <s:is>
          <s:t>Add generated tests across organizations, brands, memberships, facts/offers and entitlement endpoints.</s:t>
        </s:is>
      </s:c>
      <s:c r="F31" s="13" t="inlineStr">
        <s:is>
          <s:t>At least one allow + cross-tenant deny + insufficient-role deny per resource class; no ID existence leak in error detail.</s:t>
        </s:is>
      </s:c>
      <s:c r="G31" s="18" t="inlineStr">
        <s:is>
          <s:t>S1-A04,S1-A06,S1-A07</s:t>
        </s:is>
      </s:c>
      <s:c r="H31" s="18" t="inlineStr">
        <s:is>
          <s:t>P0</s:t>
        </s:is>
      </s:c>
      <s:c r="I31" s="18" t="inlineStr">
        <s:is>
          <s:t>Programmer A</s:t>
        </s:is>
      </s:c>
      <s:c r="J31" s="18" t="inlineStr">
        <s:is>
          <s:t>Programmer B</s:t>
        </s:is>
      </s:c>
      <s:c r="K31" s="18" t="n">
        <s:v>7</s:v>
      </s:c>
      <s:c r="L31" s="28" t="inlineStr">
        <s:is>
          <s:t>In Progress</s:t>
        </s:is>
      </s:c>
      <s:c r="M31" s="13" t="inlineStr">
        <s:is>
          <s:t>Security test suite</s:t>
        </s:is>
      </s:c>
      <s:c r="N31" s="18" t="inlineStr">
        <s:is>
          <s:t>RG-02,RG-03</s:t>
        </s:is>
      </s:c>
      <s:c r="O31" s="13" t="inlineStr">
        <s:is>
          <s:t>Regression gate.</s:t>
        </s:is>
      </s:c>
      <s:c r="P31" s="18" t="inlineStr">
        <s:is>
          <s:t>tests/security/authorization</s:t>
        </s:is>
      </s:c>
      <s:c r="Q31" s="14">
        <s:f>INDEX('01_ROADMAP'!$C$5:$C$15,MATCH(B31,'01_ROADMAP'!$A$5:$A$15,0))</s:f>
        <s:v>46286.0</s:v>
      </s:c>
      <s:c r="R31" s="14">
        <s:f>INDEX('01_ROADMAP'!$D$5:$D$15,MATCH(B31,'01_ROADMAP'!$A$5:$A$15,0))</s:f>
        <s:v>46299.0</s:v>
      </s:c>
      <s:c r="S31" s="29" t="inlineStr">
        <s:is>
          <s:t>docs/backlog-deep-audit-2026-09-07.json#S1-A09</s:t>
        </s:is>
      </s:c>
      <s:c r="T31" s="13" t="inlineStr">
        <s:is>
          <s:t>SECURITY</s:t>
        </s:is>
      </s:c>
      <s:c r="U31" s="13" t="inlineStr">
        <s:is>
          <s:t>Security</s:t>
        </s:is>
      </s:c>
      <s:c r="V31" s="13" t="inlineStr">
        <s:is>
          <s:t>GA</s:t>
        </s:is>
      </s:c>
      <s:c r="W31" s="13" t="inlineStr">
        <s:is>
          <s:t>N/A / API-domain contract consumed by frontend where applicable.</s:t>
        </s:is>
      </s:c>
      <s:c r="X31" s="13" t="inlineStr">
        <s:is>
          <s:t>Acceptance Criteria + Test Evidence + Release Gate</s:t>
        </s:is>
      </s:c>
      <s:c r="Y31" s="54" t="inlineStr">
        <s:is>
          <s:t>Pjesërisht</s:t>
        </s:is>
      </s:c>
      <s:c r="Z31" s="55" t="inlineStr">
        <s:is>
          <s:t>Disa prova tenant ownership për media dhe trial identity isolation; endpoint-et filtrojnë biznesin e pronarit.</s:t>
        </s:is>
      </s:c>
      <s:c r="AA31" s="55" t="inlineStr">
        <s:is>
          <s:t>1. Mungon matricë allow/cross-tenant/role deny për çdo resource dhe RLS test harness në CI.</s:t>
        </s:is>
      </s:c>
      <s:c r="AB31" s="55" t="inlineStr">
        <s:is>
          <s:t>Prova e kërkuar nga backlog-u: Security test suite
Kriteri për t'u verifikuar (nuk deklarohet i kaluar): At least one allow + cross-tenant deny + insufficient-role deny per resource class; no ID existence leak in error detail.
Pranimi kërkon edhe gate-et: RG-02,RG-03. Asnjë gate nuk është shënuar Passed nga ky audit.</s:t>
        </s:is>
      </s:c>
      <s:c r="AC31" s="55" t="inlineStr">
        <s:is>
          <s:t>hq-deep-audit-unit.log: schema testuese PostgreSQL nga migrimet, JPEG decode/EXIF, ownership checks, token encryption/transport dhe signed media. Nuk është RLS/ASVS/Meta OAuth acceptance e plotë.</s:t>
        </s:is>
      </s:c>
      <s:c r="AD31" s="55" t="inlineStr">
        <s:is>
          <s:t>apps/web/tests/integration/server.test.ts
apps/web/tests/e2e/live.spec.ts</s:t>
        </s:is>
      </s:c>
      <s:c r="AE31" s="42" t="inlineStr">
        <s:is>
          <s:t>Pjesërisht — kërkon zhvillim</s:t>
        </s:is>
      </s:c>
      <s:c r="AF31" s="42" t="inlineStr">
        <s:is>
          <s:t>Po</s:t>
        </s:is>
      </s:c>
      <s:c r="AG31" s="42" t="inlineStr">
        <s:is>
          <s:t>Po, pas implementimit</s:t>
        </s:is>
      </s:c>
      <s:c r="AH31" s="42" t="inlineStr">
        <s:is>
          <s:t>Mungon matricë allow/cross-tenant/role deny për çdo resource dhe RLS test harness në CI.</s:t>
        </s:is>
      </s:c>
      <s:c r="AI31" s="42" t="inlineStr">
        <s:is>
          <s:t>docs/backlog-code-handoff-2026-09-08.json#S1-A09</s:t>
        </s:is>
      </s:c>
      <s:c r="AJ31" s="42" t="inlineStr">
        <s:is>
          <s:t>Programmer A / review: Programmer B</s:t>
        </s:is>
      </s:c>
    </s:row>
    <s:row r="32" ht="155.1" customHeight="1" s="48">
      <s:c r="A32" s="17" t="inlineStr">
        <s:is>
          <s:t>S1-B01</s:t>
        </s:is>
      </s:c>
      <s:c r="B32" s="18" t="inlineStr">
        <s:is>
          <s:t>S1</s:t>
        </s:is>
      </s:c>
      <s:c r="C32" s="18" t="inlineStr">
        <s:is>
          <s:t>Organizations UX</s:t>
        </s:is>
      </s:c>
      <s:c r="D32" s="12" t="inlineStr">
        <s:is>
          <s:t>Build create/switch organization experience</s:t>
        </s:is>
      </s:c>
      <s:c r="E32" s="13" t="inlineStr">
        <s:is>
          <s:t>Implement first-org empty state, create form, switcher and persisted active organization context validated by API.</s:t>
        </s:is>
      </s:c>
      <s:c r="F32" s="13" t="inlineStr">
        <s:is>
          <s:t>Refresh restores valid org; removed membership forces safe reselect; no arbitrary org ID accepted.</s:t>
        </s:is>
      </s:c>
      <s:c r="G32" s="18" t="inlineStr">
        <s:is>
          <s:t>S1-A01,S0-B03</s:t>
        </s:is>
      </s:c>
      <s:c r="H32" s="18" t="inlineStr">
        <s:is>
          <s:t>P0</s:t>
        </s:is>
      </s:c>
      <s:c r="I32" s="18" t="inlineStr">
        <s:is>
          <s:t>Programmer B</s:t>
        </s:is>
      </s:c>
      <s:c r="J32" s="18" t="inlineStr">
        <s:is>
          <s:t>Programmer A</s:t>
        </s:is>
      </s:c>
      <s:c r="K32" s="18" t="n">
        <s:v>8</s:v>
      </s:c>
      <s:c r="L32" s="28" t="inlineStr">
        <s:is>
          <s:t>In Progress</s:t>
        </s:is>
      </s:c>
      <s:c r="M32" s="13" t="inlineStr">
        <s:is>
          <s:t>Playwright org lifecycle</s:t>
        </s:is>
      </s:c>
      <s:c r="N32" s="18" t="inlineStr">
        <s:is>
          <s:t>RG-14</s:t>
        </s:is>
      </s:c>
      <s:c r="O32" s="13" t="inlineStr">
        <s:is>
          <s:t>UI never grants access itself.</s:t>
        </s:is>
      </s:c>
      <s:c r="P32" s="18" t="inlineStr">
        <s:is>
          <s:t>organization UI</s:t>
        </s:is>
      </s:c>
      <s:c r="Q32" s="14">
        <s:f>INDEX('01_ROADMAP'!$C$5:$C$15,MATCH(B32,'01_ROADMAP'!$A$5:$A$15,0))</s:f>
        <s:v>46286.0</s:v>
      </s:c>
      <s:c r="R32" s="14">
        <s:f>INDEX('01_ROADMAP'!$D$5:$D$15,MATCH(B32,'01_ROADMAP'!$A$5:$A$15,0))</s:f>
        <s:v>46299.0</s:v>
      </s:c>
      <s:c r="S32" s="29" t="inlineStr">
        <s:is>
          <s:t>docs/backlog-deep-audit-2026-09-07.json#S1-B01</s:t>
        </s:is>
      </s:c>
      <s:c r="T32" s="13" t="inlineStr">
        <s:is>
          <s:t>FRONTEND</s:t>
        </s:is>
      </s:c>
      <s:c r="U32" s="13" t="inlineStr">
        <s:is>
          <s:t>Organization</s:t>
        </s:is>
      </s:c>
      <s:c r="V32" s="13" t="inlineStr">
        <s:is>
          <s:t>GA</s:t>
        </s:is>
      </s:c>
      <s:c r="W32" s="13" t="inlineStr">
        <s:is>
          <s:t>See companion DOCX; use Nuxt UI primitives and shared design system for user-facing tasks.</s:t>
        </s:is>
      </s:c>
      <s:c r="X32" s="13" t="inlineStr">
        <s:is>
          <s:t>Acceptance Criteria + Test Evidence + Release Gate</s:t>
        </s:is>
      </s:c>
      <s:c r="Y32" s="54" t="inlineStr">
        <s:is>
          <s:t>Pjesërisht</s:t>
        </s:is>
      </s:c>
      <s:c r="Z32" s="56" t="inlineStr">
        <s:is>
          <s:t>Biznesi i parë krijohet realisht; konteksti ringarkohet nga API.</s:t>
        </s:is>
      </s:c>
      <s:c r="AA32" s="56" t="inlineStr">
        <s:is>
          <s:t>1. Aktualisht një biznes për owner; multi-org switcher, membership removal/reselect dhe lifecycle i plotë nuk janë implementuar.</s:t>
        </s:is>
      </s:c>
      <s:c r="AB32" s="56" t="inlineStr">
        <s:is>
          <s:t>Prova e kërkuar nga backlog-u: Playwright org lifecycle
Kriteri për t'u verifikuar (nuk deklarohet i kaluar): Refresh restores valid org; removed membership forces safe reselect; no arbitrary org ID accepted.
Pranimi kërkon edhe gate-et: RG-14. Asnjë gate nuk është shënuar Passed nga ky audit.</s:t>
        </s:is>
      </s:c>
      <s:c r="AC32" s="56" t="inlineStr">
        <s:is>
          <s:t>hq-deep-audit-registration-meta-e2e.log: regjistrim pa email lokal dhe onboarding; Facebook/Instagram approval/calendar pa Meta në Chromium desktop/mobile. Nuk është UAT ose email delivery publik.</s:t>
        </s:is>
      </s:c>
      <s:c r="AD32" s="56" t="inlineStr">
        <s:is>
          <s:t>apps/web/app/components/BusinessOnboarding.vue
apps/web/app/composables/useWorkspace.ts</s:t>
        </s:is>
      </s:c>
      <s:c r="AE32" s="42" t="inlineStr">
        <s:is>
          <s:t>Pjesërisht — kërkon zhvillim</s:t>
        </s:is>
      </s:c>
      <s:c r="AF32" s="42" t="inlineStr">
        <s:is>
          <s:t>Po</s:t>
        </s:is>
      </s:c>
      <s:c r="AG32" s="42" t="inlineStr">
        <s:is>
          <s:t>Po, pas implementimit</s:t>
        </s:is>
      </s:c>
      <s:c r="AH32" s="42" t="inlineStr">
        <s:is>
          <s:t>Aktualisht një biznes për owner; multi-org switcher, membership removal/reselect dhe lifecycle i plotë nuk janë implementuar.</s:t>
        </s:is>
      </s:c>
      <s:c r="AI32" s="42" t="inlineStr">
        <s:is>
          <s:t>docs/backlog-code-handoff-2026-09-08.json#S1-B01</s:t>
        </s:is>
      </s:c>
      <s:c r="AJ32" s="42" t="inlineStr">
        <s:is>
          <s:t>Programmer B / review: Programmer A</s:t>
        </s:is>
      </s:c>
    </s:row>
    <s:row r="33" ht="155.1" customHeight="1" s="48">
      <s:c r="A33" s="17" t="inlineStr">
        <s:is>
          <s:t>S1-B02</s:t>
        </s:is>
      </s:c>
      <s:c r="B33" s="18" t="inlineStr">
        <s:is>
          <s:t>S1</s:t>
        </s:is>
      </s:c>
      <s:c r="C33" s="18" t="inlineStr">
        <s:is>
          <s:t>Onboarding</s:t>
        </s:is>
      </s:c>
      <s:c r="D33" s="12" t="inlineStr">
        <s:is>
          <s:t>Build multi-step business onboarding</s:t>
        </s:is>
      </s:c>
      <s:c r="E33" s="13" t="inlineStr">
        <s:is>
          <s:t>Build resumable Nuxt UI Stepper: business basics -&gt; optional social profiles/Meta connection -&gt; first post. Save completed progress in PostgreSQL, recover incomplete form input locally, and expose timezone/facts/settings clearly.</s:t>
        </s:is>
      </s:c>
      <s:c r="F33" s="13" t="inlineStr">
        <s:is>
          <s:t>Refresh/logout/login resumes the correct completed step; user can continue, create posts, approve and plan without Meta. Validation is actionable; mobile has no horizontal scroll. Only actual business data is used; no demo workspace is created.</s:t>
        </s:is>
      </s:c>
      <s:c r="G33" s="18" t="inlineStr">
        <s:is>
          <s:t>S1-A05,S1-B01</s:t>
        </s:is>
      </s:c>
      <s:c r="H33" s="18" t="inlineStr">
        <s:is>
          <s:t>P0</s:t>
        </s:is>
      </s:c>
      <s:c r="I33" s="18" t="inlineStr">
        <s:is>
          <s:t>Programmer B</s:t>
        </s:is>
      </s:c>
      <s:c r="J33" s="18" t="inlineStr">
        <s:is>
          <s:t>Programmer A</s:t>
        </s:is>
      </s:c>
      <s:c r="K33" s="18" t="n">
        <s:v>11</s:v>
      </s:c>
      <s:c r="L33" s="28" t="inlineStr">
        <s:is>
          <s:t>In Progress</s:t>
        </s:is>
      </s:c>
      <s:c r="M33" s="13" t="inlineStr">
        <s:is>
          <s:t>Playwright onboarding desktop/mobile</s:t>
        </s:is>
      </s:c>
      <s:c r="N33" s="18" t="inlineStr">
        <s:is>
          <s:t>RG-14</s:t>
        </s:is>
      </s:c>
      <s:c r="O33" s="13" t="inlineStr">
        <s:is>
          <s:t>No hidden required data; explicit consent text hooks.</s:t>
        </s:is>
      </s:c>
      <s:c r="P33" s="18" t="inlineStr">
        <s:is>
          <s:t>onboarding wizard</s:t>
        </s:is>
      </s:c>
      <s:c r="Q33" s="14">
        <s:f>INDEX('01_ROADMAP'!$C$5:$C$15,MATCH(B33,'01_ROADMAP'!$A$5:$A$15,0))</s:f>
        <s:v>46286.0</s:v>
      </s:c>
      <s:c r="R33" s="14">
        <s:f>INDEX('01_ROADMAP'!$D$5:$D$15,MATCH(B33,'01_ROADMAP'!$A$5:$A$15,0))</s:f>
        <s:v>46299.0</s:v>
      </s:c>
      <s:c r="S33" s="29" t="inlineStr">
        <s:is>
          <s:t>docs/backlog-deep-audit-2026-09-07.json#S1-B02</s:t>
        </s:is>
      </s:c>
      <s:c r="T33" s="13" t="inlineStr">
        <s:is>
          <s:t>BACKEND</s:t>
        </s:is>
      </s:c>
      <s:c r="U33" s="13" t="inlineStr">
        <s:is>
          <s:t>Onboarding</s:t>
        </s:is>
      </s:c>
      <s:c r="V33" s="13" t="inlineStr">
        <s:is>
          <s:t>GA</s:t>
        </s:is>
      </s:c>
      <s:c r="W33" s="13" t="inlineStr">
        <s:is>
          <s:t>See companion DOCX; use Nuxt UI primitives and shared design system for user-facing tasks.</s:t>
        </s:is>
      </s:c>
      <s:c r="X33" s="13" t="inlineStr">
        <s:is>
          <s:t>Acceptance Criteria + Test Evidence + Release Gate</s:t>
        </s:is>
      </s:c>
      <s:c r="Y33" s="54" t="inlineStr">
        <s:is>
          <s:t>Pjesërisht</s:t>
        </s:is>
      </s:c>
      <s:c r="Z33" s="55" t="inlineStr">
        <s:is>
          <s:t>Onboarding 3 hapa: Biznesi → Rrjetet opsionale → Hapi i parë; progress dhe profili ruhen në server, draft i papërfunduar rikuperohet lokal.</s:t>
        </s:is>
      </s:c>
      <s:c r="AA33" s="55" t="inlineStr">
        <s:is>
          <s:t>1. Duhet suite që provon refresh/logout/login në çdo hap, timezone/goals/facts sipas kontratës dhe përdorues të rinj në 360px.</s:t>
        </s:is>
      </s:c>
      <s:c r="AB33" s="55" t="inlineStr">
        <s:is>
          <s:t>Prova e kërkuar nga backlog-u: Playwright onboarding desktop/mobile
Kriteri për t'u verifikuar (nuk deklarohet i kaluar): Refresh/logout/login resumes the correct completed step; user can continue, create posts, approve and plan without Meta. Validation is actionable; mobile has no horizontal scroll. Only actual business data is used; no demo workspace is created.
Pranimi kërkon edhe gate-et: RG-14. Asnjë gate nuk është shënuar Passed nga ky audit.</s:t>
        </s:is>
      </s:c>
      <s:c r="AC33" s="55" t="inlineStr">
        <s:is>
          <s:t>hq-deep-audit-registration-meta-e2e.log: regjistrim pa email lokal dhe onboarding; Facebook/Instagram approval/calendar pa Meta në Chromium desktop/mobile. Nuk është UAT ose email delivery publik.</s:t>
        </s:is>
      </s:c>
      <s:c r="AD33" s="55" t="inlineStr">
        <s:is>
          <s:t>apps/web/app/components/BusinessOnboarding.vue
apps/web/tests/e2e/local-registration.spec.ts
apps/web/tests/e2e/live.spec.ts</s:t>
        </s:is>
      </s:c>
      <s:c r="AE33" s="42" t="inlineStr">
        <s:is>
          <s:t>Pjesërisht — kërkon zhvillim</s:t>
        </s:is>
      </s:c>
      <s:c r="AF33" s="42" t="inlineStr">
        <s:is>
          <s:t>Po</s:t>
        </s:is>
      </s:c>
      <s:c r="AG33" s="42" t="inlineStr">
        <s:is>
          <s:t>Po, pas implementimit</s:t>
        </s:is>
      </s:c>
      <s:c r="AH33" s="42" t="inlineStr">
        <s:is>
          <s:t>Duhet suite që provon refresh/logout/login në çdo hap, timezone/goals/facts sipas kontratës dhe përdorues të rinj në 360px.</s:t>
        </s:is>
      </s:c>
      <s:c r="AI33" s="42" t="inlineStr">
        <s:is>
          <s:t>docs/backlog-code-handoff-2026-09-08.json#S1-B02</s:t>
        </s:is>
      </s:c>
      <s:c r="AJ33" s="42" t="inlineStr">
        <s:is>
          <s:t>Programmer B / review: Programmer A</s:t>
        </s:is>
      </s:c>
    </s:row>
    <s:row r="34" ht="155.1" customHeight="1" s="48">
      <s:c r="A34" s="17" t="inlineStr">
        <s:is>
          <s:t>S1-B03</s:t>
        </s:is>
      </s:c>
      <s:c r="B34" s="18" t="inlineStr">
        <s:is>
          <s:t>S1</s:t>
        </s:is>
      </s:c>
      <s:c r="C34" s="18" t="inlineStr">
        <s:is>
          <s:t>Brand Settings</s:t>
        </s:is>
      </s:c>
      <s:c r="D34" s="12" t="inlineStr">
        <s:is>
          <s:t>Build brand settings workspace</s:t>
        </s:is>
      </s:c>
      <s:c r="E34" s="13" t="inlineStr">
        <s:is>
          <s:t>Implement profile, locale/timezone, goals and status settings with dirty-state protection and optimistic concurrency feedback.</s:t>
        </s:is>
      </s:c>
      <s:c r="F34" s="13" t="inlineStr">
        <s:is>
          <s:t>Concurrent update conflict shown without silent overwrite; save/error states complete.</s:t>
        </s:is>
      </s:c>
      <s:c r="G34" s="18" t="inlineStr">
        <s:is>
          <s:t>S1-A05</s:t>
        </s:is>
      </s:c>
      <s:c r="H34" s="18" t="inlineStr">
        <s:is>
          <s:t>P1</s:t>
        </s:is>
      </s:c>
      <s:c r="I34" s="18" t="inlineStr">
        <s:is>
          <s:t>Programmer B</s:t>
        </s:is>
      </s:c>
      <s:c r="J34" s="18" t="inlineStr">
        <s:is>
          <s:t>Programmer A</s:t>
        </s:is>
      </s:c>
      <s:c r="K34" s="18" t="n">
        <s:v>8</s:v>
      </s:c>
      <s:c r="L34" s="28" t="inlineStr">
        <s:is>
          <s:t>In Progress</s:t>
        </s:is>
      </s:c>
      <s:c r="M34" s="13" t="inlineStr">
        <s:is>
          <s:t>Component + E2E edit tests</s:t>
        </s:is>
      </s:c>
      <s:c r="N34" s="18" t="inlineStr">
        <s:is>
          <s:t>RG-14</s:t>
        </s:is>
      </s:c>
      <s:c r="O34" s="13" t="inlineStr">
        <s:is>
          <s:t>Server validation surfaced safely.</s:t>
        </s:is>
      </s:c>
      <s:c r="P34" s="18" t="inlineStr">
        <s:is>
          <s:t>brand settings UI</s:t>
        </s:is>
      </s:c>
      <s:c r="Q34" s="14">
        <s:f>INDEX('01_ROADMAP'!$C$5:$C$15,MATCH(B34,'01_ROADMAP'!$A$5:$A$15,0))</s:f>
        <s:v>46286.0</s:v>
      </s:c>
      <s:c r="R34" s="14">
        <s:f>INDEX('01_ROADMAP'!$D$5:$D$15,MATCH(B34,'01_ROADMAP'!$A$5:$A$15,0))</s:f>
        <s:v>46299.0</s:v>
      </s:c>
      <s:c r="S34" s="29" t="inlineStr">
        <s:is>
          <s:t>docs/backlog-deep-audit-2026-09-07.json#S1-B03</s:t>
        </s:is>
      </s:c>
      <s:c r="T34" s="13" t="inlineStr">
        <s:is>
          <s:t>FRONTEND</s:t>
        </s:is>
      </s:c>
      <s:c r="U34" s="13" t="inlineStr">
        <s:is>
          <s:t>Brand</s:t>
        </s:is>
      </s:c>
      <s:c r="V34" s="13" t="inlineStr">
        <s:is>
          <s:t>GA</s:t>
        </s:is>
      </s:c>
      <s:c r="W34" s="13" t="inlineStr">
        <s:is>
          <s:t>See companion DOCX; use Nuxt UI primitives and shared design system for user-facing tasks.</s:t>
        </s:is>
      </s:c>
      <s:c r="X34" s="13" t="inlineStr">
        <s:is>
          <s:t>Acceptance Criteria + Test Evidence + Release Gate</s:t>
        </s:is>
      </s:c>
      <s:c r="Y34" s="54" t="inlineStr">
        <s:is>
          <s:t>Pjesërisht</s:t>
        </s:is>
      </s:c>
      <s:c r="Z34" s="56" t="inlineStr">
        <s:is>
          <s:t>Profili, timezone dhe preferences me validation, dirty-state dhe konflikt revision 409.</s:t>
        </s:is>
      </s:c>
      <s:c r="AA34" s="56" t="inlineStr">
        <s:is>
          <s:t>1. Mbeten lifecycle/status/goals i plotë dhe prova konkurrence/UI fault; language switching është post-GA.</s:t>
        </s:is>
      </s:c>
      <s:c r="AB34" s="56" t="inlineStr">
        <s:is>
          <s:t>Prova e kërkuar nga backlog-u: Component + E2E edit tests
Kriteri për t'u verifikuar (nuk deklarohet i kaluar): Concurrent update conflict shown without silent overwrite; save/error states complete.
Pranimi kërkon edhe gate-et: RG-14. Asnjë gate nuk është shënuar Passed nga ky audit.</s:t>
        </s:is>
      </s:c>
      <s:c r="AC34" s="56" t="inlineStr">
        <s:is>
          <s:t>U rishikuan kodi/artefaktet dhe u kërkua implementimi i kësaj detyre. Nuk ka provë të ekzekutuar specifike që mbyll të gjithë kriterin; kontrollet globale nuk e zëvendësojnë atë.</s:t>
        </s:is>
      </s:c>
      <s:c r="AD34" s="56" t="inlineStr">
        <s:is>
          <s:t>apps/web/app/pages/app/[org]/[brand]/brand.vue
apps/web/app/pages/app/[org]/[brand]/settings.vue
apps/web/app/composables/useWorkspace.ts</s:t>
        </s:is>
      </s:c>
      <s:c r="AE34" s="42" t="inlineStr">
        <s:is>
          <s:t>Pjesërisht — kërkon zhvillim</s:t>
        </s:is>
      </s:c>
      <s:c r="AF34" s="42" t="inlineStr">
        <s:is>
          <s:t>Po</s:t>
        </s:is>
      </s:c>
      <s:c r="AG34" s="42" t="inlineStr">
        <s:is>
          <s:t>Po, pas implementimit</s:t>
        </s:is>
      </s:c>
      <s:c r="AH34" s="42" t="inlineStr">
        <s:is>
          <s:t>Mbeten lifecycle/status/goals i plotë dhe prova konkurrence/UI fault; language switching është post-GA.</s:t>
        </s:is>
      </s:c>
      <s:c r="AI34" s="42" t="inlineStr">
        <s:is>
          <s:t>docs/backlog-code-handoff-2026-09-08.json#S1-B03</s:t>
        </s:is>
      </s:c>
      <s:c r="AJ34" s="42" t="inlineStr">
        <s:is>
          <s:t>Programmer B / review: Programmer A</s:t>
        </s:is>
      </s:c>
    </s:row>
    <s:row r="35" ht="155.1" customHeight="1" s="48">
      <s:c r="A35" s="17" t="inlineStr">
        <s:is>
          <s:t>S1-B04</s:t>
        </s:is>
      </s:c>
      <s:c r="B35" s="18" t="inlineStr">
        <s:is>
          <s:t>S1</s:t>
        </s:is>
      </s:c>
      <s:c r="C35" s="18" t="inlineStr">
        <s:is>
          <s:t>Team UX</s:t>
        </s:is>
      </s:c>
      <s:c r="D35" s="12" t="inlineStr">
        <s:is>
          <s:t>Build team member/invite management</s:t>
        </s:is>
      </s:c>
      <s:c r="E35" s="13" t="inlineStr">
        <s:is>
          <s:t>Create member table, invite form, resend/revoke, role changes and owner-protection UX.</s:t>
        </s:is>
      </s:c>
      <s:c r="F35" s="13" t="inlineStr">
        <s:is>
          <s:t>Forbidden actions hidden and server errors handled; expired invite state visible; last-owner removal prevented.</s:t>
        </s:is>
      </s:c>
      <s:c r="G35" s="18" t="inlineStr">
        <s:is>
          <s:t>S1-A02,S1-A03</s:t>
        </s:is>
      </s:c>
      <s:c r="H35" s="18" t="inlineStr">
        <s:is>
          <s:t>P0</s:t>
        </s:is>
      </s:c>
      <s:c r="I35" s="18" t="inlineStr">
        <s:is>
          <s:t>Programmer B</s:t>
        </s:is>
      </s:c>
      <s:c r="J35" s="18" t="inlineStr">
        <s:is>
          <s:t>Programmer A</s:t>
        </s:is>
      </s:c>
      <s:c r="K35" s="18" t="n">
        <s:v>9</s:v>
      </s:c>
      <s:c r="L35" s="32" t="inlineStr">
        <s:is>
          <s:t>Deferred</s:t>
        </s:is>
      </s:c>
      <s:c r="M35" s="13" t="inlineStr">
        <s:is>
          <s:t>E2E role/invite tests</s:t>
        </s:is>
      </s:c>
      <s:c r="N35" s="18" t="inlineStr">
        <s:is>
          <s:t>RG-03,RG-14</s:t>
        </s:is>
      </s:c>
      <s:c r="O35" s="13" t="inlineStr">
        <s:is>
          <s:t>No sensitive invite token displayed after creation.</s:t>
        </s:is>
      </s:c>
      <s:c r="P35" s="18" t="inlineStr">
        <s:is>
          <s:t>team UI</s:t>
        </s:is>
      </s:c>
      <s:c r="Q35" s="14">
        <s:f>INDEX('01_ROADMAP'!$C$5:$C$15,MATCH(B35,'01_ROADMAP'!$A$5:$A$15,0))</s:f>
        <s:v>46286.0</s:v>
      </s:c>
      <s:c r="R35" s="14">
        <s:f>INDEX('01_ROADMAP'!$D$5:$D$15,MATCH(B35,'01_ROADMAP'!$A$5:$A$15,0))</s:f>
        <s:v>46299.0</s:v>
      </s:c>
      <s:c r="S35" s="29" t="inlineStr">
        <s:is>
          <s:t>docs/backlog-deep-audit-2026-09-07.json#S1-B04</s:t>
        </s:is>
      </s:c>
      <s:c r="T35" s="13" t="inlineStr">
        <s:is>
          <s:t>FRONTEND</s:t>
        </s:is>
      </s:c>
      <s:c r="U35" s="13" t="inlineStr">
        <s:is>
          <s:t>Team</s:t>
        </s:is>
      </s:c>
      <s:c r="V35" s="13" t="inlineStr">
        <s:is>
          <s:t>Deferred — posts scope</s:t>
        </s:is>
      </s:c>
      <s:c r="W35" s="13" t="inlineStr">
        <s:is>
          <s:t>See companion DOCX; use Nuxt UI primitives and shared design system for user-facing tasks.</s:t>
        </s:is>
      </s:c>
      <s:c r="X35" s="13" t="inlineStr">
        <s:is>
          <s:t>Acceptance Criteria + Test Evidence + Release Gate</s:t>
        </s:is>
      </s:c>
      <s:c r="Y35" s="59" t="inlineStr">
        <s:is>
          <s:t>Shtyrë</s:t>
        </s:is>
      </s:c>
      <s:c r="Z35" s="55" t="inlineStr">
        <s:is>
          <s:t>Ekipi, ftesat dhe qasja multi-brand janë shtyrë nga rrjedha aktive sipas fokusit vetëm te postimet.</s:t>
        </s:is>
      </s:c>
      <s:c r="AA35" s="55" t="inlineStr">
        <s:is>
          <s:t>1. Pas aktivizimit të backend-it të ekipit: tabela e anëtarëve, ftesa/resend/revoke, role dhe gjendje expired/last-owner/forbidden me gabime nga serveri.</s:t>
        </s:is>
      </s:c>
      <s:c r="AB35" s="55" t="inlineStr">
        <s:is>
          <s:t>Prova e kërkuar nga backlog-u: E2E role/invite tests
Kriteri për t'u verifikuar (nuk deklarohet i kaluar): Forbidden actions hidden and server errors handled; expired invite state visible; last-owner removal prevented.
Pranimi kërkon edhe gate-et: RG-03,RG-14. Asnjë gate nuk është shënuar Passed nga ky audit.</s:t>
        </s:is>
      </s:c>
      <s:c r="AC35" s="55" t="inlineStr">
        <s:is>
          <s:t>Shtyrë sipas scope-it; nuk është realizuar. Kriteret dhe hapat e këtij rreshti vlejnë kur moduli të rikthehet në scope.</s:t>
        </s:is>
      </s:c>
      <s:c r="AD35" s="55" t="inlineStr">
        <s:is>
          <s:t>Nuk u gjet implementim specifik; shiko kriterin dhe hapat në AA/AB.</s:t>
        </s:is>
      </s:c>
      <s:c r="AE35" s="42" t="inlineStr">
        <s:is>
          <s:t>Shtyrë nga scope-i aktual</s:t>
        </s:is>
      </s:c>
      <s:c r="AF35" s="42" t="inlineStr">
        <s:is>
          <s:t>Jo në scope-in posts-only</s:t>
        </s:is>
      </s:c>
      <s:c r="AG35" s="42" t="inlineStr">
        <s:is>
          <s:t>Jo tani</s:t>
        </s:is>
      </s:c>
      <s:c r="AH35" s="42" t="inlineStr">
        <s:is>
          <s:t>Pas aktivizimit të backend-it të ekipit: tabela e anëtarëve, ftesa/resend/revoke, role dhe gjendje expired/last-owner/forbidden me gabime nga serveri.</s:t>
        </s:is>
      </s:c>
      <s:c r="AI35" s="42" t="inlineStr">
        <s:is>
          <s:t>docs/backlog-code-handoff-2026-09-08.json#S1-B04</s:t>
        </s:is>
      </s:c>
      <s:c r="AJ35" s="42" t="inlineStr">
        <s:is>
          <s:t>Programmer B / review: Programmer A</s:t>
        </s:is>
      </s:c>
    </s:row>
    <s:row r="36" ht="155.1" customHeight="1" s="48">
      <s:c r="A36" s="17" t="inlineStr">
        <s:is>
          <s:t>S1-B05</s:t>
        </s:is>
      </s:c>
      <s:c r="B36" s="18" t="inlineStr">
        <s:is>
          <s:t>S1</s:t>
        </s:is>
      </s:c>
      <s:c r="C36" s="18" t="inlineStr">
        <s:is>
          <s:t>Team UX</s:t>
        </s:is>
      </s:c>
      <s:c r="D36" s="12" t="inlineStr">
        <s:is>
          <s:t>Build brand access assignment UI</s:t>
        </s:is>
      </s:c>
      <s:c r="E36" s="13" t="inlineStr">
        <s:is>
          <s:t>Allow Owner/Admin to choose all vs selected brands for eligible members with clear effective permissions preview.</s:t>
        </s:is>
      </s:c>
      <s:c r="F36" s="13" t="inlineStr">
        <s:is>
          <s:t>Restricted user sees only assigned brands after refresh/new session; invalid combinations blocked.</s:t>
        </s:is>
      </s:c>
      <s:c r="G36" s="18" t="inlineStr">
        <s:is>
          <s:t>S1-A04,S1-B04</s:t>
        </s:is>
      </s:c>
      <s:c r="H36" s="18" t="inlineStr">
        <s:is>
          <s:t>P1</s:t>
        </s:is>
      </s:c>
      <s:c r="I36" s="18" t="inlineStr">
        <s:is>
          <s:t>Programmer B</s:t>
        </s:is>
      </s:c>
      <s:c r="J36" s="18" t="inlineStr">
        <s:is>
          <s:t>Programmer A</s:t>
        </s:is>
      </s:c>
      <s:c r="K36" s="18" t="n">
        <s:v>7</s:v>
      </s:c>
      <s:c r="L36" s="32" t="inlineStr">
        <s:is>
          <s:t>Deferred</s:t>
        </s:is>
      </s:c>
      <s:c r="M36" s="13" t="inlineStr">
        <s:is>
          <s:t>E2E brand scope tests</s:t>
        </s:is>
      </s:c>
      <s:c r="N36" s="18" t="inlineStr">
        <s:is>
          <s:t>RG-03</s:t>
        </s:is>
      </s:c>
      <s:c r="O36" s="13" t="inlineStr">
        <s:is>
          <s:t>Authorization verified server-side.</s:t>
        </s:is>
      </s:c>
      <s:c r="P36" s="18" t="inlineStr">
        <s:is>
          <s:t>brand access UI</s:t>
        </s:is>
      </s:c>
      <s:c r="Q36" s="14">
        <s:f>INDEX('01_ROADMAP'!$C$5:$C$15,MATCH(B36,'01_ROADMAP'!$A$5:$A$15,0))</s:f>
        <s:v>46286.0</s:v>
      </s:c>
      <s:c r="R36" s="14">
        <s:f>INDEX('01_ROADMAP'!$D$5:$D$15,MATCH(B36,'01_ROADMAP'!$A$5:$A$15,0))</s:f>
        <s:v>46299.0</s:v>
      </s:c>
      <s:c r="S36" s="29" t="inlineStr">
        <s:is>
          <s:t>docs/backlog-deep-audit-2026-09-07.json#S1-B05</s:t>
        </s:is>
      </s:c>
      <s:c r="T36" s="13" t="inlineStr">
        <s:is>
          <s:t>FRONTEND</s:t>
        </s:is>
      </s:c>
      <s:c r="U36" s="13" t="inlineStr">
        <s:is>
          <s:t>Team</s:t>
        </s:is>
      </s:c>
      <s:c r="V36" s="13" t="inlineStr">
        <s:is>
          <s:t>Deferred — posts scope</s:t>
        </s:is>
      </s:c>
      <s:c r="W36" s="13" t="inlineStr">
        <s:is>
          <s:t>See companion DOCX; use Nuxt UI primitives and shared design system for user-facing tasks.</s:t>
        </s:is>
      </s:c>
      <s:c r="X36" s="13" t="inlineStr">
        <s:is>
          <s:t>Acceptance Criteria + Test Evidence + Release Gate</s:t>
        </s:is>
      </s:c>
      <s:c r="Y36" s="59" t="inlineStr">
        <s:is>
          <s:t>Shtyrë</s:t>
        </s:is>
      </s:c>
      <s:c r="Z36" s="56" t="inlineStr">
        <s:is>
          <s:t>Ekipi, ftesat dhe qasja multi-brand janë shtyrë nga rrjedha aktive sipas fokusit vetëm te postimet.</s:t>
        </s:is>
      </s:c>
      <s:c r="AA36" s="56" t="inlineStr">
        <s:is>
          <s:t>1. Pas rikthimit të ekipit: formular all/selected brands, pamje e lejeve efektive dhe rifreskim i qasjes pas ndryshimit ose sesionit të ri.</s:t>
        </s:is>
      </s:c>
      <s:c r="AB36" s="56" t="inlineStr">
        <s:is>
          <s:t>Prova e kërkuar nga backlog-u: E2E brand scope tests
Kriteri për t'u verifikuar (nuk deklarohet i kaluar): Restricted user sees only assigned brands after refresh/new session; invalid combinations blocked.
Pranimi kërkon edhe gate-et: RG-03. Asnjë gate nuk është shënuar Passed nga ky audit.</s:t>
        </s:is>
      </s:c>
      <s:c r="AC36" s="56" t="inlineStr">
        <s:is>
          <s:t>Shtyrë sipas scope-it; nuk është realizuar. Kriteret dhe hapat e këtij rreshti vlejnë kur moduli të rikthehet në scope.</s:t>
        </s:is>
      </s:c>
      <s:c r="AD36" s="56" t="inlineStr">
        <s:is>
          <s:t>Nuk u gjet implementim specifik; shiko kriterin dhe hapat në AA/AB.</s:t>
        </s:is>
      </s:c>
      <s:c r="AE36" s="42" t="inlineStr">
        <s:is>
          <s:t>Shtyrë nga scope-i aktual</s:t>
        </s:is>
      </s:c>
      <s:c r="AF36" s="42" t="inlineStr">
        <s:is>
          <s:t>Jo në scope-in posts-only</s:t>
        </s:is>
      </s:c>
      <s:c r="AG36" s="42" t="inlineStr">
        <s:is>
          <s:t>Jo tani</s:t>
        </s:is>
      </s:c>
      <s:c r="AH36" s="42" t="inlineStr">
        <s:is>
          <s:t>Pas rikthimit të ekipit: formular all/selected brands, pamje e lejeve efektive dhe rifreskim i qasjes pas ndryshimit ose sesionit të ri.</s:t>
        </s:is>
      </s:c>
      <s:c r="AI36" s="42" t="inlineStr">
        <s:is>
          <s:t>docs/backlog-code-handoff-2026-09-08.json#S1-B05</s:t>
        </s:is>
      </s:c>
      <s:c r="AJ36" s="42" t="inlineStr">
        <s:is>
          <s:t>Programmer B / review: Programmer A</s:t>
        </s:is>
      </s:c>
    </s:row>
    <s:row r="37" ht="155.1" customHeight="1" s="48">
      <s:c r="A37" s="17" t="inlineStr">
        <s:is>
          <s:t>S1-B06</s:t>
        </s:is>
      </s:c>
      <s:c r="B37" s="18" t="inlineStr">
        <s:is>
          <s:t>S1</s:t>
        </s:is>
      </s:c>
      <s:c r="C37" s="18" t="inlineStr">
        <s:is>
          <s:t>Business Brain UX</s:t>
        </s:is>
      </s:c>
      <s:c r="D37" s="12" t="inlineStr">
        <s:is>
          <s:t>Build Business Brain editor</s:t>
        </s:is>
      </s:c>
      <s:c r="E37" s="13" t="inlineStr">
        <s:is>
          <s:t>Create sections for facts, voice, audiences, offers, guardrails and verification badges/provenance.</s:t>
        </s:is>
      </s:c>
      <s:c r="F37" s="13" t="inlineStr">
        <s:is>
          <s:t>User can verify/reject candidate fact, edit explicit fact, activate valid offer; source/confidence visible.</s:t>
        </s:is>
      </s:c>
      <s:c r="G37" s="18" t="inlineStr">
        <s:is>
          <s:t>S1-A06,S1-B03</s:t>
        </s:is>
      </s:c>
      <s:c r="H37" s="18" t="inlineStr">
        <s:is>
          <s:t>P0</s:t>
        </s:is>
      </s:c>
      <s:c r="I37" s="18" t="inlineStr">
        <s:is>
          <s:t>Programmer B</s:t>
        </s:is>
      </s:c>
      <s:c r="J37" s="18" t="inlineStr">
        <s:is>
          <s:t>Programmer A</s:t>
        </s:is>
      </s:c>
      <s:c r="K37" s="18" t="n">
        <s:v>11</s:v>
      </s:c>
      <s:c r="L37" s="28" t="inlineStr">
        <s:is>
          <s:t>In Progress</s:t>
        </s:is>
      </s:c>
      <s:c r="M37" s="13" t="inlineStr">
        <s:is>
          <s:t>Component + E2E fact lifecycle</s:t>
        </s:is>
      </s:c>
      <s:c r="N37" s="18" t="inlineStr">
        <s:is>
          <s:t>RG-06,RG-14</s:t>
        </s:is>
      </s:c>
      <s:c r="O37" s="13" t="inlineStr">
        <s:is>
          <s:t>High-impact facts clearly distinguish verified/proposed.</s:t>
        </s:is>
      </s:c>
      <s:c r="P37" s="18" t="inlineStr">
        <s:is>
          <s:t>Business Brain UI</s:t>
        </s:is>
      </s:c>
      <s:c r="Q37" s="14">
        <s:f>INDEX('01_ROADMAP'!$C$5:$C$15,MATCH(B37,'01_ROADMAP'!$A$5:$A$15,0))</s:f>
        <s:v>46286.0</s:v>
      </s:c>
      <s:c r="R37" s="14">
        <s:f>INDEX('01_ROADMAP'!$D$5:$D$15,MATCH(B37,'01_ROADMAP'!$A$5:$A$15,0))</s:f>
        <s:v>46299.0</s:v>
      </s:c>
      <s:c r="S37" s="29" t="inlineStr">
        <s:is>
          <s:t>docs/backlog-deep-audit-2026-09-07.json#S1-B06</s:t>
        </s:is>
      </s:c>
      <s:c r="T37" s="13" t="inlineStr">
        <s:is>
          <s:t>FRONTEND</s:t>
        </s:is>
      </s:c>
      <s:c r="U37" s="13" t="inlineStr">
        <s:is>
          <s:t>AI Platform</s:t>
        </s:is>
      </s:c>
      <s:c r="V37" s="13" t="inlineStr">
        <s:is>
          <s:t>GA</s:t>
        </s:is>
      </s:c>
      <s:c r="W37" s="13" t="inlineStr">
        <s:is>
          <s:t>See companion DOCX; use Nuxt UI primitives and shared design system for user-facing tasks.</s:t>
        </s:is>
      </s:c>
      <s:c r="X37" s="13" t="inlineStr">
        <s:is>
          <s:t>Acceptance Criteria + Test Evidence + Release Gate</s:t>
        </s:is>
      </s:c>
      <s:c r="Y37" s="54" t="inlineStr">
        <s:is>
          <s:t>Pjesërisht</s:t>
        </s:is>
      </s:c>
      <s:c r="Z37" s="55" t="inlineStr">
        <s:is>
          <s:t>Editor për përshkrimin, zërin, audiencën dhe facts me burim/konfirmim.</s:t>
        </s:is>
      </s:c>
      <s:c r="AA37" s="55" t="inlineStr">
        <s:is>
          <s:t>1. Nuk ka candidate accept/reject, confidence, oferta/guardrails/versioning dhe provë fact lifecycle.</s:t>
        </s:is>
      </s:c>
      <s:c r="AB37" s="55" t="inlineStr">
        <s:is>
          <s:t>Prova e kërkuar nga backlog-u: Component + E2E fact lifecycle
Kriteri për t'u verifikuar (nuk deklarohet i kaluar): User can verify/reject candidate fact, edit explicit fact, activate valid offer; source/confidence visible.
Pranimi kërkon edhe gate-et: RG-06,RG-14. Asnjë gate nuk është shënuar Passed nga ky audit.</s:t>
        </s:is>
      </s:c>
      <s:c r="AC37" s="55" t="inlineStr">
        <s:is>
          <s:t>U rishikuan kodi/artefaktet dhe u kërkua implementimi i kësaj detyre. Nuk ka provë të ekzekutuar specifike që mbyll të gjithë kriterin; kontrollet globale nuk e zëvendësojnë atë.</s:t>
        </s:is>
      </s:c>
      <s:c r="AD37" s="55" t="inlineStr">
        <s:is>
          <s:t>apps/web/app/pages/app/[org]/[brand]/brand.vue</s:t>
        </s:is>
      </s:c>
      <s:c r="AE37" s="42" t="inlineStr">
        <s:is>
          <s:t>Pjesërisht — kërkon zhvillim</s:t>
        </s:is>
      </s:c>
      <s:c r="AF37" s="42" t="inlineStr">
        <s:is>
          <s:t>Po</s:t>
        </s:is>
      </s:c>
      <s:c r="AG37" s="42" t="inlineStr">
        <s:is>
          <s:t>Po, pas implementimit</s:t>
        </s:is>
      </s:c>
      <s:c r="AH37" s="42" t="inlineStr">
        <s:is>
          <s:t>Nuk ka candidate accept/reject, confidence, oferta/guardrails/versioning dhe provë fact lifecycle.</s:t>
        </s:is>
      </s:c>
      <s:c r="AI37" s="42" t="inlineStr">
        <s:is>
          <s:t>docs/backlog-code-handoff-2026-09-08.json#S1-B06</s:t>
        </s:is>
      </s:c>
      <s:c r="AJ37" s="42" t="inlineStr">
        <s:is>
          <s:t>Programmer B / review: Programmer A</s:t>
        </s:is>
      </s:c>
    </s:row>
    <s:row r="38" ht="155.1" customHeight="1" s="48">
      <s:c r="A38" s="17" t="inlineStr">
        <s:is>
          <s:t>S1-B07</s:t>
        </s:is>
      </s:c>
      <s:c r="B38" s="18" t="inlineStr">
        <s:is>
          <s:t>S1</s:t>
        </s:is>
      </s:c>
      <s:c r="C38" s="18" t="inlineStr">
        <s:is>
          <s:t>UX States</s:t>
        </s:is>
      </s:c>
      <s:c r="D38" s="12" t="inlineStr">
        <s:is>
          <s:t>Standardize app async/error states</s:t>
        </s:is>
      </s:c>
      <s:c r="E38" s="13" t="inlineStr">
        <s:is>
          <s:t>Create reusable empty/error/forbidden/degraded/retry patterns and API Problem-to-message mapping.</s:t>
        </s:is>
      </s:c>
      <s:c r="F38" s="13" t="inlineStr">
        <s:is>
          <s:t>Core S1 pages never show raw stack/provider errors; request_id copy action available on support-worthy error.</s:t>
        </s:is>
      </s:c>
      <s:c r="G38" s="18" t="inlineStr">
        <s:is>
          <s:t>S0-B06,S1-B01</s:t>
        </s:is>
      </s:c>
      <s:c r="H38" s="18" t="inlineStr">
        <s:is>
          <s:t>P1</s:t>
        </s:is>
      </s:c>
      <s:c r="I38" s="18" t="inlineStr">
        <s:is>
          <s:t>Programmer B</s:t>
        </s:is>
      </s:c>
      <s:c r="J38" s="18" t="inlineStr">
        <s:is>
          <s:t>Programmer A</s:t>
        </s:is>
      </s:c>
      <s:c r="K38" s="18" t="n">
        <s:v>6</s:v>
      </s:c>
      <s:c r="L38" s="28" t="inlineStr">
        <s:is>
          <s:t>In Progress</s:t>
        </s:is>
      </s:c>
      <s:c r="M38" s="13" t="inlineStr">
        <s:is>
          <s:t>Component state matrix tests</s:t>
        </s:is>
      </s:c>
      <s:c r="N38" s="18" t="inlineStr">
        <s:is>
          <s:t>RG-14</s:t>
        </s:is>
      </s:c>
      <s:c r="O38" s="13" t="inlineStr">
        <s:is>
          <s:t>No sensitive detail in UI.</s:t>
        </s:is>
      </s:c>
      <s:c r="P38" s="18" t="inlineStr">
        <s:is>
          <s:t>state/error components</s:t>
        </s:is>
      </s:c>
      <s:c r="Q38" s="14">
        <s:f>INDEX('01_ROADMAP'!$C$5:$C$15,MATCH(B38,'01_ROADMAP'!$A$5:$A$15,0))</s:f>
        <s:v>46286.0</s:v>
      </s:c>
      <s:c r="R38" s="14">
        <s:f>INDEX('01_ROADMAP'!$D$5:$D$15,MATCH(B38,'01_ROADMAP'!$A$5:$A$15,0))</s:f>
        <s:v>46299.0</s:v>
      </s:c>
      <s:c r="S38" s="29" t="inlineStr">
        <s:is>
          <s:t>docs/backlog-deep-audit-2026-09-07.json#S1-B07</s:t>
        </s:is>
      </s:c>
      <s:c r="T38" s="13" t="inlineStr">
        <s:is>
          <s:t>FRONTEND</s:t>
        </s:is>
      </s:c>
      <s:c r="U38" s="13" t="inlineStr">
        <s:is>
          <s:t>Platform</s:t>
        </s:is>
      </s:c>
      <s:c r="V38" s="13" t="inlineStr">
        <s:is>
          <s:t>GA</s:t>
        </s:is>
      </s:c>
      <s:c r="W38" s="13" t="inlineStr">
        <s:is>
          <s:t>See companion DOCX; use Nuxt UI primitives and shared design system for user-facing tasks.</s:t>
        </s:is>
      </s:c>
      <s:c r="X38" s="13" t="inlineStr">
        <s:is>
          <s:t>Acceptance Criteria + Test Evidence + Release Gate</s:t>
        </s:is>
      </s:c>
      <s:c r="Y38" s="54" t="inlineStr">
        <s:is>
          <s:t>Pjesërisht</s:t>
        </s:is>
      </s:c>
      <s:c r="Z38" s="56" t="inlineStr">
        <s:is>
          <s:t>DashboardEmpty, UAlert, retry/toast dhe state reale për mungesë konfigurimi ose konflikte.</s:t>
        </s:is>
      </s:c>
      <s:c r="AA38" s="56" t="inlineStr">
        <s:is>
          <s:t>1. Mungon Problem contract i unifikuar me request-id të kopjueshëm dhe state matrix tests.</s:t>
        </s:is>
      </s:c>
      <s:c r="AB38" s="56" t="inlineStr">
        <s:is>
          <s:t>Prova e kërkuar nga backlog-u: Component state matrix tests
Kriteri për t'u verifikuar (nuk deklarohet i kaluar): Core S1 pages never show raw stack/provider errors; request_id copy action available on support-worthy error.
Pranimi kërkon edhe gate-et: RG-14. Asnjë gate nuk është shënuar Passed nga ky audit.</s:t>
        </s:is>
      </s:c>
      <s:c r="AC38" s="56" t="inlineStr">
        <s:is>
          <s:t>U rishikuan kodi/artefaktet dhe u kërkua implementimi i kësaj detyre. Nuk ka provë të ekzekutuar specifike që mbyll të gjithë kriterin; kontrollet globale nuk e zëvendësojnë atë.</s:t>
        </s:is>
      </s:c>
      <s:c r="AD38" s="56" t="inlineStr">
        <s:is>
          <s:t>apps/web/app/components/DashboardEmpty.vue
apps/web/app/composables/useWorkspace.ts
apps/web/app/error.vue</s:t>
        </s:is>
      </s:c>
      <s:c r="AE38" s="42" t="inlineStr">
        <s:is>
          <s:t>Pjesërisht — kërkon zhvillim</s:t>
        </s:is>
      </s:c>
      <s:c r="AF38" s="42" t="inlineStr">
        <s:is>
          <s:t>Po</s:t>
        </s:is>
      </s:c>
      <s:c r="AG38" s="42" t="inlineStr">
        <s:is>
          <s:t>Po, pas implementimit</s:t>
        </s:is>
      </s:c>
      <s:c r="AH38" s="42" t="inlineStr">
        <s:is>
          <s:t>Mungon Problem contract i unifikuar me request-id të kopjueshëm dhe state matrix tests.</s:t>
        </s:is>
      </s:c>
      <s:c r="AI38" s="42" t="inlineStr">
        <s:is>
          <s:t>docs/backlog-code-handoff-2026-09-08.json#S1-B07</s:t>
        </s:is>
      </s:c>
      <s:c r="AJ38" s="42" t="inlineStr">
        <s:is>
          <s:t>Programmer B / review: Programmer A</s:t>
        </s:is>
      </s:c>
    </s:row>
    <s:row r="39" ht="155.1" customHeight="1" s="48">
      <s:c r="A39" s="17" t="inlineStr">
        <s:is>
          <s:t>S1-B08</s:t>
        </s:is>
      </s:c>
      <s:c r="B39" s="18" t="inlineStr">
        <s:is>
          <s:t>S1</s:t>
        </s:is>
      </s:c>
      <s:c r="C39" s="18" t="inlineStr">
        <s:is>
          <s:t>Responsive UX</s:t>
        </s:is>
      </s:c>
      <s:c r="D39" s="12" t="inlineStr">
        <s:is>
          <s:t>Mobile polish for onboarding/team/brand</s:t>
        </s:is>
      </s:c>
      <s:c r="E39" s="13" t="inlineStr">
        <s:is>
          <s:t>Verify layouts at phone/tablet/desktop, keyboard focus, form labels and long Albanian/English text wrapping.</s:t>
        </s:is>
      </s:c>
      <s:c r="F39" s="13" t="inlineStr">
        <s:is>
          <s:t>No horizontal overflow; dialogs/forms usable by keyboard; critical controls reachable mobile.</s:t>
        </s:is>
      </s:c>
      <s:c r="G39" s="18" t="inlineStr">
        <s:is>
          <s:t>S1-B02,S1-B04,S1-B06</s:t>
        </s:is>
      </s:c>
      <s:c r="H39" s="18" t="inlineStr">
        <s:is>
          <s:t>P1</s:t>
        </s:is>
      </s:c>
      <s:c r="I39" s="18" t="inlineStr">
        <s:is>
          <s:t>Programmer B</s:t>
        </s:is>
      </s:c>
      <s:c r="J39" s="18" t="inlineStr">
        <s:is>
          <s:t>Programmer A</s:t>
        </s:is>
      </s:c>
      <s:c r="K39" s="18" t="n">
        <s:v>6</s:v>
      </s:c>
      <s:c r="L39" s="28" t="inlineStr">
        <s:is>
          <s:t>In Progress</s:t>
        </s:is>
      </s:c>
      <s:c r="M39" s="13" t="inlineStr">
        <s:is>
          <s:t>Playwright viewport + axe smoke</s:t>
        </s:is>
      </s:c>
      <s:c r="N39" s="18" t="inlineStr">
        <s:is>
          <s:t>RG-14</s:t>
        </s:is>
      </s:c>
      <s:c r="O39" s="13" t="inlineStr">
        <s:is>
          <s:t>Accessibility baseline.</s:t>
        </s:is>
      </s:c>
      <s:c r="P39" s="18" t="inlineStr">
        <s:is>
          <s:t>responsive/a11y fixes</s:t>
        </s:is>
      </s:c>
      <s:c r="Q39" s="14">
        <s:f>INDEX('01_ROADMAP'!$C$5:$C$15,MATCH(B39,'01_ROADMAP'!$A$5:$A$15,0))</s:f>
        <s:v>46286.0</s:v>
      </s:c>
      <s:c r="R39" s="14">
        <s:f>INDEX('01_ROADMAP'!$D$5:$D$15,MATCH(B39,'01_ROADMAP'!$A$5:$A$15,0))</s:f>
        <s:v>46299.0</s:v>
      </s:c>
      <s:c r="S39" s="29" t="inlineStr">
        <s:is>
          <s:t>docs/backlog-deep-audit-2026-09-07.json#S1-B08</s:t>
        </s:is>
      </s:c>
      <s:c r="T39" s="13" t="inlineStr">
        <s:is>
          <s:t>FRONTEND</s:t>
        </s:is>
      </s:c>
      <s:c r="U39" s="13" t="inlineStr">
        <s:is>
          <s:t>Onboarding</s:t>
        </s:is>
      </s:c>
      <s:c r="V39" s="13" t="inlineStr">
        <s:is>
          <s:t>GA</s:t>
        </s:is>
      </s:c>
      <s:c r="W39" s="13" t="inlineStr">
        <s:is>
          <s:t>See companion DOCX; use Nuxt UI primitives and shared design system for user-facing tasks.</s:t>
        </s:is>
      </s:c>
      <s:c r="X39" s="13" t="inlineStr">
        <s:is>
          <s:t>Acceptance Criteria + Test Evidence + Release Gate</s:t>
        </s:is>
      </s:c>
      <s:c r="Y39" s="54" t="inlineStr">
        <s:is>
          <s:t>Pjesërisht</s:t>
        </s:is>
      </s:c>
      <s:c r="Z39" s="55" t="inlineStr">
        <s:is>
          <s:t>Nuxt UI primitives, labels/focus dhe reduced-motion ekzistojnë; axe është në testet live dhe provat e fundit mbulojnë desktop/mobile pa overflow.</s:t>
        </s:is>
      </s:c>
      <s:c r="AA39" s="55" t="inlineStr">
        <s:is>
          <s:t>1. Rishiko onboarding/brand në 360px, tablet, keyboard dhe screen reader; arkivo raport sipas breakpoint-it. Team nuk është në scope-in aktual; prova Chromium 390px nuk e mbyll të gjithë matricën.</s:t>
        </s:is>
      </s:c>
      <s:c r="AB39" s="55" t="inlineStr">
        <s:is>
          <s:t>Prova e kërkuar nga backlog-u: Playwright viewport + axe smoke
Kriteri për t'u verifikuar (nuk deklarohet i kaluar): No horizontal overflow; dialogs/forms usable by keyboard; critical controls reachable mobile.
Pranimi kërkon edhe gate-et: RG-14. Asnjë gate nuk është shënuar Passed nga ky audit.</s:t>
        </s:is>
      </s:c>
      <s:c r="AC39" s="55"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39" s="55" t="inlineStr">
        <s:is>
          <s:t>apps/web/tests/e2e/live.spec.ts
apps/web/app/assets/css/main.css
docs/VALIDATION.md
hq-optional-e2e.log</s:t>
        </s:is>
      </s:c>
      <s:c r="AE39" s="42" t="inlineStr">
        <s:is>
          <s:t>Pjesërisht — kërkon zhvillim</s:t>
        </s:is>
      </s:c>
      <s:c r="AF39" s="42" t="inlineStr">
        <s:is>
          <s:t>Po</s:t>
        </s:is>
      </s:c>
      <s:c r="AG39" s="42" t="inlineStr">
        <s:is>
          <s:t>Po, pas implementimit</s:t>
        </s:is>
      </s:c>
      <s:c r="AH39" s="42" t="inlineStr">
        <s:is>
          <s:t>Rishiko onboarding/brand në 360px, tablet, keyboard dhe screen reader; arkivo raport sipas breakpoint-it. Team nuk është në scope-in aktual; prova Chromium 390px nuk e mbyll të gjithë matricën.</s:t>
        </s:is>
      </s:c>
      <s:c r="AI39" s="42" t="inlineStr">
        <s:is>
          <s:t>docs/backlog-code-handoff-2026-09-08.json#S1-B08</s:t>
        </s:is>
      </s:c>
      <s:c r="AJ39" s="42" t="inlineStr">
        <s:is>
          <s:t>Programmer B / review: Programmer A</s:t>
        </s:is>
      </s:c>
    </s:row>
    <s:row r="40" ht="155.1" customHeight="1" s="48">
      <s:c r="A40" s="17" t="inlineStr">
        <s:is>
          <s:t>S1-B09</s:t>
        </s:is>
      </s:c>
      <s:c r="B40" s="18" t="inlineStr">
        <s:is>
          <s:t>S1</s:t>
        </s:is>
      </s:c>
      <s:c r="C40" s="18" t="inlineStr">
        <s:is>
          <s:t>Product Telemetry</s:t>
        </s:is>
      </s:c>
      <s:c r="D40" s="12" t="inlineStr">
        <s:is>
          <s:t>Define privacy-safe product event taxonomy</s:t>
        </s:is>
      </s:c>
      <s:c r="E40" s="13" t="inlineStr">
        <s:is>
          <s:t>Specify/implement event wrapper for onboarding milestones and activation only; exclude prompt/content/PII payloads.</s:t>
        </s:is>
      </s:c>
      <s:c r="F40" s="13" t="inlineStr">
        <s:is>
          <s:t>Events have stable schema, org/user pseudonymous IDs, environment tag; forbidden properties tested.</s:t>
        </s:is>
      </s:c>
      <s:c r="G40" s="18" t="inlineStr">
        <s:is>
          <s:t>S1-B02</s:t>
        </s:is>
      </s:c>
      <s:c r="H40" s="18" t="inlineStr">
        <s:is>
          <s:t>P2</s:t>
        </s:is>
      </s:c>
      <s:c r="I40" s="18" t="inlineStr">
        <s:is>
          <s:t>Programmer B</s:t>
        </s:is>
      </s:c>
      <s:c r="J40" s="18" t="inlineStr">
        <s:is>
          <s:t>Programmer A</s:t>
        </s:is>
      </s:c>
      <s:c r="K40" s="18" t="n">
        <s:v>5</s:v>
      </s:c>
      <s:c r="L40" s="30" t="inlineStr">
        <s:is>
          <s:t>Not Started</s:t>
        </s:is>
      </s:c>
      <s:c r="M40" s="13" t="inlineStr">
        <s:is>
          <s:t>Event payload unit tests</s:t>
        </s:is>
      </s:c>
      <s:c r="N40" s="18" t="inlineStr">
        <s:is>
          <s:t>RG-09</s:t>
        </s:is>
      </s:c>
      <s:c r="O40" s="13" t="inlineStr">
        <s:is>
          <s:t>Data minimization.</s:t>
        </s:is>
      </s:c>
      <s:c r="P40" s="18" t="inlineStr">
        <s:is>
          <s:t>product analytics wrapper</s:t>
        </s:is>
      </s:c>
      <s:c r="Q40" s="14">
        <s:f>INDEX('01_ROADMAP'!$C$5:$C$15,MATCH(B40,'01_ROADMAP'!$A$5:$A$15,0))</s:f>
        <s:v>46286.0</s:v>
      </s:c>
      <s:c r="R40" s="14">
        <s:f>INDEX('01_ROADMAP'!$D$5:$D$15,MATCH(B40,'01_ROADMAP'!$A$5:$A$15,0))</s:f>
        <s:v>46299.0</s:v>
      </s:c>
      <s:c r="S40" s="29" t="inlineStr">
        <s:is>
          <s:t>docs/backlog-deep-audit-2026-09-07.json#S1-B09</s:t>
        </s:is>
      </s:c>
      <s:c r="T40" s="13" t="inlineStr">
        <s:is>
          <s:t>FRONTEND</s:t>
        </s:is>
      </s:c>
      <s:c r="U40" s="13" t="inlineStr">
        <s:is>
          <s:t>Privacy</s:t>
        </s:is>
      </s:c>
      <s:c r="V40" s="13" t="inlineStr">
        <s:is>
          <s:t>GA</s:t>
        </s:is>
      </s:c>
      <s:c r="W40" s="13" t="inlineStr">
        <s:is>
          <s:t>See companion DOCX; use Nuxt UI primitives and shared design system for user-facing tasks.</s:t>
        </s:is>
      </s:c>
      <s:c r="X40" s="13" t="inlineStr">
        <s:is>
          <s:t>Acceptance Criteria + Test Evidence + Release Gate</s:t>
        </s:is>
      </s:c>
      <s:c r="Y40" s="57" t="inlineStr">
        <s:is>
          <s:t>Pa filluar</s:t>
        </s:is>
      </s:c>
      <s:c r="Z40" s="56" t="inlineStr">
        <s:is>
          <s:t>Nuk u gjet shërbim telemetry/product events apo funnel dashboard.</s:t>
        </s:is>
      </s:c>
      <s:c r="AA40" s="56" t="inlineStr">
        <s:is>
          <s:t>1. Përcakto schema eventesh për onboarding/activation, IDs pseudonime dhe environment; zbato wrapper me allowlist dhe teste që refuzojnë email/tekst/post/prompt në payload.</s:t>
        </s:is>
      </s:c>
      <s:c r="AB40" s="56" t="inlineStr">
        <s:is>
          <s:t>Prova e kërkuar nga backlog-u: Event payload unit tests
Kriteri për t'u verifikuar (nuk deklarohet i kaluar): Events have stable schema, org/user pseudonymous IDs, environment tag; forbidden properties tested.
Pranimi kërkon edhe gate-et: RG-09. Asnjë gate nuk është shënuar Passed nga ky audit.</s:t>
        </s:is>
      </s:c>
      <s:c r="AC40" s="56" t="inlineStr">
        <s:is>
          <s:t>U rishikuan kodi/artefaktet dhe u kërkua implementimi i kësaj detyre. Nuk ka provë të ekzekutuar specifike që mbyll të gjithë kriterin; kontrollet globale nuk e zëvendësojnë atë.</s:t>
        </s:is>
      </s:c>
      <s:c r="AD40" s="56" t="inlineStr">
        <s:is>
          <s:t>Nuk u gjet implementim specifik; shiko kriterin dhe hapat në AA/AB.</s:t>
        </s:is>
      </s:c>
      <s:c r="AE40" s="42" t="inlineStr">
        <s:is>
          <s:t>Pa filluar</s:t>
        </s:is>
      </s:c>
      <s:c r="AF40" s="42" t="inlineStr">
        <s:is>
          <s:t>Po</s:t>
        </s:is>
      </s:c>
      <s:c r="AG40" s="42" t="inlineStr">
        <s:is>
          <s:t>Po, pas implementimit</s:t>
        </s:is>
      </s:c>
      <s:c r="AH40" s="42" t="inlineStr">
        <s:is>
          <s:t>Përcakto schema eventesh për onboarding/activation, IDs pseudonime dhe environment; zbato wrapper me allowlist dhe teste që refuzojnë email/tekst/post/prompt në payload.</s:t>
        </s:is>
      </s:c>
      <s:c r="AI40" s="42" t="inlineStr">
        <s:is>
          <s:t>docs/backlog-code-handoff-2026-09-08.json#S1-B09</s:t>
        </s:is>
      </s:c>
      <s:c r="AJ40" s="42" t="inlineStr">
        <s:is>
          <s:t>Programmer B / review: Programmer A</s:t>
        </s:is>
      </s:c>
    </s:row>
    <s:row r="41" ht="155.1" customHeight="1" s="48">
      <s:c r="A41" s="17" t="inlineStr">
        <s:is>
          <s:t>S2-A01</s:t>
        </s:is>
      </s:c>
      <s:c r="B41" s="18" t="inlineStr">
        <s:is>
          <s:t>S2</s:t>
        </s:is>
      </s:c>
      <s:c r="C41" s="18" t="inlineStr">
        <s:is>
          <s:t>Media</s:t>
        </s:is>
      </s:c>
      <s:c r="D41" s="12" t="inlineStr">
        <s:is>
          <s:t>Create gallery asset schema and signed upload API</s:t>
        </s:is>
      </s:c>
      <s:c r="E41" s="13" t="inlineStr">
        <s:is>
          <s:t>Implement gallery_assets/variants metadata, pending upload session and brand-scoped signed upload URL contract.</s:t>
        </s:is>
      </s:c>
      <s:c r="F41" s="13" t="inlineStr">
        <s:is>
          <s:t>Only authorized brand member can create upload; object key server-generated under org/brand; pending expires.</s:t>
        </s:is>
      </s:c>
      <s:c r="G41" s="18" t="inlineStr">
        <s:is>
          <s:t>S1-A05,S1-A03</s:t>
        </s:is>
      </s:c>
      <s:c r="H41" s="18" t="inlineStr">
        <s:is>
          <s:t>P0</s:t>
        </s:is>
      </s:c>
      <s:c r="I41" s="18" t="inlineStr">
        <s:is>
          <s:t>Programmer A</s:t>
        </s:is>
      </s:c>
      <s:c r="J41" s="18" t="inlineStr">
        <s:is>
          <s:t>Programmer B</s:t>
        </s:is>
      </s:c>
      <s:c r="K41" s="18" t="n">
        <s:v>8</s:v>
      </s:c>
      <s:c r="L41" s="28" t="inlineStr">
        <s:is>
          <s:t>In Progress</s:t>
        </s:is>
      </s:c>
      <s:c r="M41" s="13" t="inlineStr">
        <s:is>
          <s:t>API/RLS upload authorization tests</s:t>
        </s:is>
      </s:c>
      <s:c r="N41" s="18" t="inlineStr">
        <s:is>
          <s:t>RG-05</s:t>
        </s:is>
      </s:c>
      <s:c r="O41" s="13" t="inlineStr">
        <s:is>
          <s:t>Private bucket; no arbitrary object key.</s:t>
        </s:is>
      </s:c>
      <s:c r="P41" s="18" t="inlineStr">
        <s:is>
          <s:t>media schema/upload API</s:t>
        </s:is>
      </s:c>
      <s:c r="Q41" s="14">
        <s:f>INDEX('01_ROADMAP'!$C$5:$C$15,MATCH(B41,'01_ROADMAP'!$A$5:$A$15,0))</s:f>
        <s:v>46300.0</s:v>
      </s:c>
      <s:c r="R41" s="14">
        <s:f>INDEX('01_ROADMAP'!$D$5:$D$15,MATCH(B41,'01_ROADMAP'!$A$5:$A$15,0))</s:f>
        <s:v>46313.0</s:v>
      </s:c>
      <s:c r="S41" s="29" t="inlineStr">
        <s:is>
          <s:t>docs/backlog-deep-audit-2026-09-07.json#S2-A01</s:t>
        </s:is>
      </s:c>
      <s:c r="T41" s="13" t="inlineStr">
        <s:is>
          <s:t>MEDIA</s:t>
        </s:is>
      </s:c>
      <s:c r="U41" s="13" t="inlineStr">
        <s:is>
          <s:t>Gallery</s:t>
        </s:is>
      </s:c>
      <s:c r="V41" s="13" t="inlineStr">
        <s:is>
          <s:t>GA</s:t>
        </s:is>
      </s:c>
      <s:c r="W41" s="13" t="inlineStr">
        <s:is>
          <s:t>N/A / API-domain contract consumed by frontend where applicable.</s:t>
        </s:is>
      </s:c>
      <s:c r="X41" s="13" t="inlineStr">
        <s:is>
          <s:t>Acceptance Criteria + Test Evidence + Release Gate</s:t>
        </s:is>
      </s:c>
      <s:c r="Y41" s="54" t="inlineStr">
        <s:is>
          <s:t>Pjesërisht</s:t>
        </s:is>
      </s:c>
      <s:c r="Z41" s="55" t="inlineStr">
        <s:is>
          <s:t>Media private në PostgreSQL bytea me owner/business checks dhe metadata; URL /api/media/:id kërkon session.</s:t>
        </s:is>
      </s:c>
      <s:c r="AA41" s="55" t="inlineStr">
        <s:is>
          <s:t>1. Mungojnë pending upload session, signed direct upload, object storage key dhe expiry/finalize contract.</s:t>
        </s:is>
      </s:c>
      <s:c r="AB41" s="55" t="inlineStr">
        <s:is>
          <s:t>Prova e kërkuar nga backlog-u: API/RLS upload authorization tests
Kriteri për t'u verifikuar (nuk deklarohet i kaluar): Only authorized brand member can create upload; object key server-generated under org/brand; pending expires.
Pranimi kërkon edhe gate-et: RG-05. Asnjë gate nuk është shënuar Passed nga ky audit.</s:t>
        </s:is>
      </s:c>
      <s:c r="AC41" s="55" t="inlineStr">
        <s:is>
          <s:t>U rishikuan kodi/artefaktet dhe u kërkua implementimi i kësaj detyre. Nuk ka provë të ekzekutuar specifike që mbyll të gjithë kriterin; kontrollet globale nuk e zëvendësojnë atë.</s:t>
        </s:is>
      </s:c>
      <s:c r="AD41" s="55" t="inlineStr">
        <s:is>
          <s:t>apps/web/server/api/media/[id].get.ts
apps/web/server/api/workspaces/[id].put.ts
apps/web/database/migrations/0002_businesses.sql</s:t>
        </s:is>
      </s:c>
      <s:c r="AE41" s="42" t="inlineStr">
        <s:is>
          <s:t>Pjesërisht — kërkon zhvillim</s:t>
        </s:is>
      </s:c>
      <s:c r="AF41" s="42" t="inlineStr">
        <s:is>
          <s:t>Po</s:t>
        </s:is>
      </s:c>
      <s:c r="AG41" s="42" t="inlineStr">
        <s:is>
          <s:t>Po, pas implementimit</s:t>
        </s:is>
      </s:c>
      <s:c r="AH41" s="42" t="inlineStr">
        <s:is>
          <s:t>Mungojnë pending upload session, signed direct upload, object storage key dhe expiry/finalize contract.</s:t>
        </s:is>
      </s:c>
      <s:c r="AI41" s="42" t="inlineStr">
        <s:is>
          <s:t>docs/backlog-code-handoff-2026-09-08.json#S2-A01</s:t>
        </s:is>
      </s:c>
      <s:c r="AJ41" s="42" t="inlineStr">
        <s:is>
          <s:t>Programmer A / review: Programmer B</s:t>
        </s:is>
      </s:c>
    </s:row>
    <s:row r="42" ht="155.1" customHeight="1" s="48">
      <s:c r="A42" s="17" t="inlineStr">
        <s:is>
          <s:t>S2-A02</s:t>
        </s:is>
      </s:c>
      <s:c r="B42" s="18" t="inlineStr">
        <s:is>
          <s:t>S2</s:t>
        </s:is>
      </s:c>
      <s:c r="C42" s="18" t="inlineStr">
        <s:is>
          <s:t>Media Security</s:t>
        </s:is>
      </s:c>
      <s:c r="D42" s="12" t="inlineStr">
        <s:is>
          <s:t>Implement upload finalize validation</s:t>
        </s:is>
      </s:c>
      <s:c r="E42" s="13" t="inlineStr">
        <s:is>
          <s:t>Validate checksum, magic bytes, declared MIME, image dimensions/size, ownership and finalize state transition.</s:t>
        </s:is>
      </s:c>
      <s:c r="F42" s="13" t="inlineStr">
        <s:is>
          <s:t>Extension spoof/oversize/non-image/reused finalize rejected; valid upload becomes PROCESSING.</s:t>
        </s:is>
      </s:c>
      <s:c r="G42" s="18" t="inlineStr">
        <s:is>
          <s:t>S2-A01</s:t>
        </s:is>
      </s:c>
      <s:c r="H42" s="18" t="inlineStr">
        <s:is>
          <s:t>P0</s:t>
        </s:is>
      </s:c>
      <s:c r="I42" s="18" t="inlineStr">
        <s:is>
          <s:t>Programmer A</s:t>
        </s:is>
      </s:c>
      <s:c r="J42" s="18" t="inlineStr">
        <s:is>
          <s:t>Programmer B</s:t>
        </s:is>
      </s:c>
      <s:c r="K42" s="18" t="n">
        <s:v>8</s:v>
      </s:c>
      <s:c r="L42" s="28" t="inlineStr">
        <s:is>
          <s:t>In Progress</s:t>
        </s:is>
      </s:c>
      <s:c r="M42" s="13" t="inlineStr">
        <s:is>
          <s:t>Malicious/edge upload fixtures</s:t>
        </s:is>
      </s:c>
      <s:c r="N42" s="18" t="inlineStr">
        <s:is>
          <s:t>RG-05</s:t>
        </s:is>
      </s:c>
      <s:c r="O42" s="13" t="inlineStr">
        <s:is>
          <s:t>Untrusted file boundary.</s:t>
        </s:is>
      </s:c>
      <s:c r="P42" s="18" t="inlineStr">
        <s:is>
          <s:t>upload finalizer</s:t>
        </s:is>
      </s:c>
      <s:c r="Q42" s="14">
        <s:f>INDEX('01_ROADMAP'!$C$5:$C$15,MATCH(B42,'01_ROADMAP'!$A$5:$A$15,0))</s:f>
        <s:v>46300.0</s:v>
      </s:c>
      <s:c r="R42" s="14">
        <s:f>INDEX('01_ROADMAP'!$D$5:$D$15,MATCH(B42,'01_ROADMAP'!$A$5:$A$15,0))</s:f>
        <s:v>46313.0</s:v>
      </s:c>
      <s:c r="S42" s="29" t="inlineStr">
        <s:is>
          <s:t>docs/backlog-deep-audit-2026-09-07.json#S2-A02</s:t>
        </s:is>
      </s:c>
      <s:c r="T42" s="13" t="inlineStr">
        <s:is>
          <s:t>MEDIA</s:t>
        </s:is>
      </s:c>
      <s:c r="U42" s="13" t="inlineStr">
        <s:is>
          <s:t>Security</s:t>
        </s:is>
      </s:c>
      <s:c r="V42" s="13" t="inlineStr">
        <s:is>
          <s:t>GA</s:t>
        </s:is>
      </s:c>
      <s:c r="W42" s="13" t="inlineStr">
        <s:is>
          <s:t>N/A / API-domain contract consumed by frontend where applicable.</s:t>
        </s:is>
      </s:c>
      <s:c r="X42" s="13" t="inlineStr">
        <s:is>
          <s:t>Acceptance Criteria + Test Evidence + Release Gate</s:t>
        </s:is>
      </s:c>
      <s:c r="Y42" s="54" t="inlineStr">
        <s:is>
          <s:t>Pjesërisht</s:t>
        </s:is>
      </s:c>
      <s:c r="Z42" s="56" t="inlineStr">
        <s:is>
          <s:t>Serveri dekodon JPEG real me Sharp, kufizon byte/pixels, kontrollon ownership/rights dhe dimensione.</s:t>
        </s:is>
      </s:c>
      <s:c r="AA42" s="56" t="inlineStr">
        <s:is>
          <s:t>1. Mungojnë checksum/finalize session/state PROCESSING, replay-finalize dhe suite e plotë spoof/oversize.</s:t>
        </s:is>
      </s:c>
      <s:c r="AB42" s="56" t="inlineStr">
        <s:is>
          <s:t>Prova e kërkuar nga backlog-u: Malicious/edge upload fixtures
Kriteri për t'u verifikuar (nuk deklarohet i kaluar): Extension spoof/oversize/non-image/reused finalize rejected; valid upload becomes PROCESSING.
Pranimi kërkon edhe gate-et: RG-05. Asnjë gate nuk është shënuar Passed nga ky audit.</s:t>
        </s:is>
      </s:c>
      <s:c r="AC42" s="56" t="inlineStr">
        <s:is>
          <s:t>hq-deep-audit-unit.log: schema testuese PostgreSQL nga migrimet, JPEG decode/EXIF, ownership checks, token encryption/transport dhe signed media. Nuk është RLS/ASVS/Meta OAuth acceptance e plotë.</s:t>
        </s:is>
      </s:c>
      <s:c r="AD42" s="56" t="inlineStr">
        <s:is>
          <s:t>apps/web/server/utils/post-validation.ts
apps/web/server/api/workspaces/[id].put.ts
apps/web/tests/integration/server.test.ts</s:t>
        </s:is>
      </s:c>
      <s:c r="AE42" s="42" t="inlineStr">
        <s:is>
          <s:t>Pjesërisht — kërkon zhvillim</s:t>
        </s:is>
      </s:c>
      <s:c r="AF42" s="42" t="inlineStr">
        <s:is>
          <s:t>Po</s:t>
        </s:is>
      </s:c>
      <s:c r="AG42" s="42" t="inlineStr">
        <s:is>
          <s:t>Po, pas implementimit</s:t>
        </s:is>
      </s:c>
      <s:c r="AH42" s="42" t="inlineStr">
        <s:is>
          <s:t>Mungojnë checksum/finalize session/state PROCESSING, replay-finalize dhe suite e plotë spoof/oversize.</s:t>
        </s:is>
      </s:c>
      <s:c r="AI42" s="42" t="inlineStr">
        <s:is>
          <s:t>docs/backlog-code-handoff-2026-09-08.json#S2-A02</s:t>
        </s:is>
      </s:c>
      <s:c r="AJ42" s="42" t="inlineStr">
        <s:is>
          <s:t>Programmer A / review: Programmer B</s:t>
        </s:is>
      </s:c>
    </s:row>
    <s:row r="43" ht="155.1" customHeight="1" s="48">
      <s:c r="A43" s="17" t="inlineStr">
        <s:is>
          <s:t>S2-A03</s:t>
        </s:is>
      </s:c>
      <s:c r="B43" s="18" t="inlineStr">
        <s:is>
          <s:t>S2</s:t>
        </s:is>
      </s:c>
      <s:c r="C43" s="18" t="inlineStr">
        <s:is>
          <s:t>Media Processing</s:t>
        </s:is>
      </s:c>
      <s:c r="D43" s="12" t="inlineStr">
        <s:is>
          <s:t>Build image sanitize/variant worker</s:t>
        </s:is>
      </s:c>
      <s:c r="E43" s="13" t="inlineStr">
        <s:is>
          <s:t>Decode/re-encode raster images, strip EXIF/GPS, compute checksum/phash and create thumbnail/working variants idempotently.</s:t>
        </s:is>
      </s:c>
      <s:c r="F43" s="13" t="inlineStr">
        <s:is>
          <s:t>EXIF absent in derived image; duplicate worker delivery creates no duplicate variant; corrupted decode terminal.</s:t>
        </s:is>
      </s:c>
      <s:c r="G43" s="18" t="inlineStr">
        <s:is>
          <s:t>S0-A08,S2-A02</s:t>
        </s:is>
      </s:c>
      <s:c r="H43" s="18" t="inlineStr">
        <s:is>
          <s:t>P0</s:t>
        </s:is>
      </s:c>
      <s:c r="I43" s="18" t="inlineStr">
        <s:is>
          <s:t>Programmer A</s:t>
        </s:is>
      </s:c>
      <s:c r="J43" s="18" t="inlineStr">
        <s:is>
          <s:t>Programmer B</s:t>
        </s:is>
      </s:c>
      <s:c r="K43" s="18" t="n">
        <s:v>10</s:v>
      </s:c>
      <s:c r="L43" s="28" t="inlineStr">
        <s:is>
          <s:t>In Progress</s:t>
        </s:is>
      </s:c>
      <s:c r="M43" s="13" t="inlineStr">
        <s:is>
          <s:t>Worker fixtures + duplicate tests</s:t>
        </s:is>
      </s:c>
      <s:c r="N43" s="18" t="inlineStr">
        <s:is>
          <s:t>RG-05</s:t>
        </s:is>
      </s:c>
      <s:c r="O43" s="13" t="inlineStr">
        <s:is>
          <s:t>Removes active metadata/location leakage.</s:t>
        </s:is>
      </s:c>
      <s:c r="P43" s="18" t="inlineStr">
        <s:is>
          <s:t>media processing worker</s:t>
        </s:is>
      </s:c>
      <s:c r="Q43" s="14">
        <s:f>INDEX('01_ROADMAP'!$C$5:$C$15,MATCH(B43,'01_ROADMAP'!$A$5:$A$15,0))</s:f>
        <s:v>46300.0</s:v>
      </s:c>
      <s:c r="R43" s="14">
        <s:f>INDEX('01_ROADMAP'!$D$5:$D$15,MATCH(B43,'01_ROADMAP'!$A$5:$A$15,0))</s:f>
        <s:v>46313.0</s:v>
      </s:c>
      <s:c r="S43" s="29" t="inlineStr">
        <s:is>
          <s:t>docs/backlog-deep-audit-2026-09-07.json#S2-A03</s:t>
        </s:is>
      </s:c>
      <s:c r="T43" s="13" t="inlineStr">
        <s:is>
          <s:t>MEDIA</s:t>
        </s:is>
      </s:c>
      <s:c r="U43" s="13" t="inlineStr">
        <s:is>
          <s:t>Platform</s:t>
        </s:is>
      </s:c>
      <s:c r="V43" s="13" t="inlineStr">
        <s:is>
          <s:t>GA</s:t>
        </s:is>
      </s:c>
      <s:c r="W43" s="13" t="inlineStr">
        <s:is>
          <s:t>N/A / API-domain contract consumed by frontend where applicable.</s:t>
        </s:is>
      </s:c>
      <s:c r="X43" s="13" t="inlineStr">
        <s:is>
          <s:t>Acceptance Criteria + Test Evidence + Release Gate</s:t>
        </s:is>
      </s:c>
      <s:c r="Y43" s="54" t="inlineStr">
        <s:is>
          <s:t>Pjesërisht</s:t>
        </s:is>
      </s:c>
      <s:c r="Z43" s="55" t="inlineStr">
        <s:is>
          <s:t>Sharp decode/re-encode dhe strip EXIF; prova fake JPEG/EXIF kalojnë.</s:t>
        </s:is>
      </s:c>
      <s:c r="AA43" s="55" t="inlineStr">
        <s:is>
          <s:t>1. Përpunimi është sinkron, pa variant worker, thumbnails/checksum/phash apo duplicate-job tests.</s:t>
        </s:is>
      </s:c>
      <s:c r="AB43" s="55" t="inlineStr">
        <s:is>
          <s:t>Prova e kërkuar nga backlog-u: Worker fixtures + duplicate tests
Kriteri për t'u verifikuar (nuk deklarohet i kaluar): EXIF absent in derived image; duplicate worker delivery creates no duplicate variant; corrupted decode terminal.
Pranimi kërkon edhe gate-et: RG-05. Asnjë gate nuk është shënuar Passed nga ky audit.</s:t>
        </s:is>
      </s:c>
      <s:c r="AC43" s="55" t="inlineStr">
        <s:is>
          <s:t>hq-deep-audit-unit.log: schema testuese PostgreSQL nga migrimet, JPEG decode/EXIF, ownership checks, token encryption/transport dhe signed media. Nuk është RLS/ASVS/Meta OAuth acceptance e plotë.</s:t>
        </s:is>
      </s:c>
      <s:c r="AD43" s="55" t="inlineStr">
        <s:is>
          <s:t>apps/web/server/utils/post-validation.ts
apps/web/tests/integration/server.test.ts</s:t>
        </s:is>
      </s:c>
      <s:c r="AE43" s="42" t="inlineStr">
        <s:is>
          <s:t>Pjesërisht — kërkon zhvillim</s:t>
        </s:is>
      </s:c>
      <s:c r="AF43" s="42" t="inlineStr">
        <s:is>
          <s:t>Po</s:t>
        </s:is>
      </s:c>
      <s:c r="AG43" s="42" t="inlineStr">
        <s:is>
          <s:t>Po, pas implementimit</s:t>
        </s:is>
      </s:c>
      <s:c r="AH43" s="42" t="inlineStr">
        <s:is>
          <s:t>Përpunimi është sinkron, pa variant worker, thumbnails/checksum/phash apo duplicate-job tests.</s:t>
        </s:is>
      </s:c>
      <s:c r="AI43" s="42" t="inlineStr">
        <s:is>
          <s:t>docs/backlog-code-handoff-2026-09-08.json#S2-A03</s:t>
        </s:is>
      </s:c>
      <s:c r="AJ43" s="42" t="inlineStr">
        <s:is>
          <s:t>Programmer A / review: Programmer B</s:t>
        </s:is>
      </s:c>
    </s:row>
    <s:row r="44" ht="155.1" customHeight="1" s="48">
      <s:c r="A44" s="17" t="inlineStr">
        <s:is>
          <s:t>S2-A04</s:t>
        </s:is>
      </s:c>
      <s:c r="B44" s="18" t="inlineStr">
        <s:is>
          <s:t>S2</s:t>
        </s:is>
      </s:c>
      <s:c r="C44" s="18" t="inlineStr">
        <s:is>
          <s:t>Meta Integration</s:t>
        </s:is>
      </s:c>
      <s:c r="D44" s="12" t="inlineStr">
        <s:is>
          <s:t>Define Meta provider ports and capability model</s:t>
        </s:is>
      </s:c>
      <s:c r="E44" s="13" t="inlineStr">
        <s:is>
          <s:t>Create SocialReader/SocialPublisher/OAuth adapter contracts, internal DTOs, capability enum and provider error taxonomy.</s:t>
        </s:is>
      </s:c>
      <s:c r="F44" s="13" t="inlineStr">
        <s:is>
          <s:t>Domain/application code imports no Meta SDK types; fixtures map expected capabilities/errors.</s:t>
        </s:is>
      </s:c>
      <s:c r="G44" s="18" t="inlineStr">
        <s:is>
          <s:t>S0-A01</s:t>
        </s:is>
      </s:c>
      <s:c r="H44" s="18" t="inlineStr">
        <s:is>
          <s:t>P0</s:t>
        </s:is>
      </s:c>
      <s:c r="I44" s="18" t="inlineStr">
        <s:is>
          <s:t>Programmer A</s:t>
        </s:is>
      </s:c>
      <s:c r="J44" s="18" t="inlineStr">
        <s:is>
          <s:t>Programmer B</s:t>
        </s:is>
      </s:c>
      <s:c r="K44" s="18" t="n">
        <s:v>7</s:v>
      </s:c>
      <s:c r="L44" s="28" t="inlineStr">
        <s:is>
          <s:t>In Progress</s:t>
        </s:is>
      </s:c>
      <s:c r="M44" s="13" t="inlineStr">
        <s:is>
          <s:t>Adapter contract unit tests</s:t>
        </s:is>
      </s:c>
      <s:c r="N44" s="18" t="inlineStr">
        <s:is>
          <s:t>RG-04</s:t>
        </s:is>
      </s:c>
      <s:c r="O44" s="13" t="inlineStr">
        <s:is>
          <s:t>Provider boundary explicit.</s:t>
        </s:is>
      </s:c>
      <s:c r="P44" s="18" t="inlineStr">
        <s:is>
          <s:t>social provider interfaces</s:t>
        </s:is>
      </s:c>
      <s:c r="Q44" s="14">
        <s:f>INDEX('01_ROADMAP'!$C$5:$C$15,MATCH(B44,'01_ROADMAP'!$A$5:$A$15,0))</s:f>
        <s:v>46300.0</s:v>
      </s:c>
      <s:c r="R44" s="14">
        <s:f>INDEX('01_ROADMAP'!$D$5:$D$15,MATCH(B44,'01_ROADMAP'!$A$5:$A$15,0))</s:f>
        <s:v>46313.0</s:v>
      </s:c>
      <s:c r="S44" s="29" t="inlineStr">
        <s:is>
          <s:t>docs/backlog-deep-audit-2026-09-07.json#S2-A04</s:t>
        </s:is>
      </s:c>
      <s:c r="T44" s="13" t="inlineStr">
        <s:is>
          <s:t>META</s:t>
        </s:is>
      </s:c>
      <s:c r="U44" s="13" t="inlineStr">
        <s:is>
          <s:t>Integrations</s:t>
        </s:is>
      </s:c>
      <s:c r="V44" s="13" t="inlineStr">
        <s:is>
          <s:t>GA</s:t>
        </s:is>
      </s:c>
      <s:c r="W44" s="13" t="inlineStr">
        <s:is>
          <s:t>N/A / API-domain contract consumed by frontend where applicable.</s:t>
        </s:is>
      </s:c>
      <s:c r="X44" s="13" t="inlineStr">
        <s:is>
          <s:t>Acceptance Criteria + Test Evidence + Release Gate</s:t>
        </s:is>
      </s:c>
      <s:c r="Y44" s="54" t="inlineStr">
        <s:is>
          <s:t>Pjesërisht</s:t>
        </s:is>
      </s:c>
      <s:c r="Z44" s="56" t="inlineStr">
        <s:is>
          <s:t>Graph transport i kontrolluar, MetaFailure dhe status/capability DTO pa tokenë në UI; test i transportit kalon.</s:t>
        </s:is>
      </s:c>
      <s:c r="AA44" s="56" t="inlineStr">
        <s:is>
          <s:t>1. Port-e provider-neutral SocialReader/Publisher/OAuth dhe taxonomy/capability matrix të plota mungojnë.</s:t>
        </s:is>
      </s:c>
      <s:c r="AB44" s="56" t="inlineStr">
        <s:is>
          <s:t>Prova e kërkuar nga backlog-u: Adapter contract unit tests
Kriteri për t'u verifikuar (nuk deklarohet i kaluar): Domain/application code imports no Meta SDK types; fixtures map expected capabilities/errors.
Pranimi kërkon edhe gate-et: RG-04. Asnjë gate nuk është shënuar Passed nga ky audit.</s:t>
        </s:is>
      </s:c>
      <s:c r="AC44" s="56" t="inlineStr">
        <s:is>
          <s:t>hq-deep-audit-unit.log: schema testuese PostgreSQL nga migrimet, JPEG decode/EXIF, ownership checks, token encryption/transport dhe signed media. Nuk është RLS/ASVS/Meta OAuth acceptance e plotë.</s:t>
        </s:is>
      </s:c>
      <s:c r="AD44" s="56" t="inlineStr">
        <s:is>
          <s:t>apps/web/server/utils/meta.ts
apps/web/server/api/meta/status.get.ts
apps/web/tests/integration/server.test.ts</s:t>
        </s:is>
      </s:c>
      <s:c r="AE44" s="42" t="inlineStr">
        <s:is>
          <s:t>Pjesërisht — kërkon zhvillim</s:t>
        </s:is>
      </s:c>
      <s:c r="AF44" s="42" t="inlineStr">
        <s:is>
          <s:t>Po</s:t>
        </s:is>
      </s:c>
      <s:c r="AG44" s="42" t="inlineStr">
        <s:is>
          <s:t>Po — përzier me punë të jashtme</s:t>
        </s:is>
      </s:c>
      <s:c r="AH44" s="42" t="inlineStr">
        <s:is>
          <s:t>Port-e provider-neutral SocialReader/Publisher/OAuth dhe taxonomy/capability matrix të plota mungojnë.</s:t>
        </s:is>
      </s:c>
      <s:c r="AI44" s="42" t="inlineStr">
        <s:is>
          <s:t>docs/backlog-code-handoff-2026-09-08.json#S2-A04</s:t>
        </s:is>
      </s:c>
      <s:c r="AJ44" s="42" t="inlineStr">
        <s:is>
          <s:t>Programmer A / review: Programmer B</s:t>
        </s:is>
      </s:c>
    </s:row>
    <s:row r="45" ht="155.1" customHeight="1" s="48">
      <s:c r="A45" s="17" t="inlineStr">
        <s:is>
          <s:t>S2-A05</s:t>
        </s:is>
      </s:c>
      <s:c r="B45" s="18" t="inlineStr">
        <s:is>
          <s:t>S2</s:t>
        </s:is>
      </s:c>
      <s:c r="C45" s="18" t="inlineStr">
        <s:is>
          <s:t>Meta OAuth</s:t>
        </s:is>
      </s:c>
      <s:c r="D45" s="12" t="inlineStr">
        <s:is>
          <s:t>Implement Meta OAuth initiation/callback and token vault</s:t>
        </s:is>
      </s:c>
      <s:c r="E45" s="13" t="inlineStr">
        <s:is>
          <s:t>Persist expiring random state, exchange server-side, encrypt token via credential service, store scopes/expiry and support disconnect.</s:t>
        </s:is>
      </s:c>
      <s:c r="F45" s="13" t="inlineStr">
        <s:is>
          <s:t>State replay/expiry/mismatch rejected; plaintext token absent from DB/log; reconnect updates credential version.</s:t>
        </s:is>
      </s:c>
      <s:c r="G45" s="18" t="inlineStr">
        <s:is>
          <s:t>S2-A04,S1-A08</s:t>
        </s:is>
      </s:c>
      <s:c r="H45" s="18" t="inlineStr">
        <s:is>
          <s:t>P0</s:t>
        </s:is>
      </s:c>
      <s:c r="I45" s="18" t="inlineStr">
        <s:is>
          <s:t>Programmer A</s:t>
        </s:is>
      </s:c>
      <s:c r="J45" s="18" t="inlineStr">
        <s:is>
          <s:t>Programmer B</s:t>
        </s:is>
      </s:c>
      <s:c r="K45" s="18" t="n">
        <s:v>11</s:v>
      </s:c>
      <s:c r="L45" s="28" t="inlineStr">
        <s:is>
          <s:t>In Progress</s:t>
        </s:is>
      </s:c>
      <s:c r="M45" s="13" t="inlineStr">
        <s:is>
          <s:t>OAuth integration fixtures + security tests</s:t>
        </s:is>
      </s:c>
      <s:c r="N45" s="18" t="inlineStr">
        <s:is>
          <s:t>RG-04</s:t>
        </s:is>
      </s:c>
      <s:c r="O45" s="13" t="inlineStr">
        <s:is>
          <s:t>Encrypted credentials; audit connect/disconnect.</s:t>
        </s:is>
      </s:c>
      <s:c r="P45" s="18" t="inlineStr">
        <s:is>
          <s:t>Meta OAuth adapter/token service</s:t>
        </s:is>
      </s:c>
      <s:c r="Q45" s="14">
        <s:f>INDEX('01_ROADMAP'!$C$5:$C$15,MATCH(B45,'01_ROADMAP'!$A$5:$A$15,0))</s:f>
        <s:v>46300.0</s:v>
      </s:c>
      <s:c r="R45" s="14">
        <s:f>INDEX('01_ROADMAP'!$D$5:$D$15,MATCH(B45,'01_ROADMAP'!$A$5:$A$15,0))</s:f>
        <s:v>46313.0</s:v>
      </s:c>
      <s:c r="S45" s="29" t="inlineStr">
        <s:is>
          <s:t>docs/backlog-deep-audit-2026-09-07.json#S2-A05</s:t>
        </s:is>
      </s:c>
      <s:c r="T45" s="13" t="inlineStr">
        <s:is>
          <s:t>META</s:t>
        </s:is>
      </s:c>
      <s:c r="U45" s="13" t="inlineStr">
        <s:is>
          <s:t>Auth</s:t>
        </s:is>
      </s:c>
      <s:c r="V45" s="13" t="inlineStr">
        <s:is>
          <s:t>GA</s:t>
        </s:is>
      </s:c>
      <s:c r="W45" s="13" t="inlineStr">
        <s:is>
          <s:t>N/A / API-domain contract consumed by frontend where applicable.</s:t>
        </s:is>
      </s:c>
      <s:c r="X45" s="13" t="inlineStr">
        <s:is>
          <s:t>Acceptance Criteria + Test Evidence + Release Gate</s:t>
        </s:is>
      </s:c>
      <s:c r="Y45" s="54" t="inlineStr">
        <s:is>
          <s:t>Pjesërisht</s:t>
        </s:is>
      </s:c>
      <s:c r="Z45" s="55" t="inlineStr">
        <s:is>
          <s:t>OAuth state me hash/expiry/consume, exchange në server, AES-GCM token vault i lidhur me business, scopes/expiry dhe disconnect.</s:t>
        </s:is>
      </s:c>
      <s:c r="AA45" s="55" t="inlineStr">
        <s:is>
          <s:t>1. Duhet suite për state replay/mismatch/expiry dhe test i vërtetë OAuth. Kredencialet e Meta App mungojnë; token-version/reconnect contracts duhen përfunduar.</s:t>
        </s:is>
      </s:c>
      <s:c r="AB45" s="55" t="inlineStr">
        <s:is>
          <s:t>Prova e kërkuar nga backlog-u: OAuth integration fixtures + security tests
Kriteri për t'u verifikuar (nuk deklarohet i kaluar): State replay/expiry/mismatch rejected; plaintext token absent from DB/log; reconnect updates credential version.
Pranimi kërkon edhe gate-et: RG-04. Asnjë gate nuk është shënuar Passed nga ky audit.</s:t>
        </s:is>
      </s:c>
      <s:c r="AC45" s="55" t="inlineStr">
        <s:is>
          <s:t>hq-deep-audit-unit.log: schema testuese PostgreSQL nga migrimet, JPEG decode/EXIF, ownership checks, token encryption/transport dhe signed media. Nuk është RLS/ASVS/Meta OAuth acceptance e plotë.</s:t>
        </s:is>
      </s:c>
      <s:c r="AD45" s="55" t="inlineStr">
        <s:is>
          <s:t>apps/web/server/api/meta/start.post.ts
apps/web/server/api/meta/callback.get.ts
apps/web/server/utils/meta.ts
apps/web/tests/integration/server.test.ts</s:t>
        </s:is>
      </s:c>
      <s:c r="AE45" s="42" t="inlineStr">
        <s:is>
          <s:t>Pjesërisht — kërkon zhvillim</s:t>
        </s:is>
      </s:c>
      <s:c r="AF45" s="42" t="inlineStr">
        <s:is>
          <s:t>Po</s:t>
        </s:is>
      </s:c>
      <s:c r="AG45" s="42" t="inlineStr">
        <s:is>
          <s:t>Po — përzier me punë të jashtme</s:t>
        </s:is>
      </s:c>
      <s:c r="AH45" s="42" t="inlineStr">
        <s:is>
          <s:t>Duhet suite për state replay/mismatch/expiry dhe test i vërtetë OAuth. Kredencialet e Meta App mungojnë; token-version/reconnect contracts duhen përfunduar.</s:t>
        </s:is>
      </s:c>
      <s:c r="AI45" s="42" t="inlineStr">
        <s:is>
          <s:t>docs/backlog-code-handoff-2026-09-08.json#S2-A05</s:t>
        </s:is>
      </s:c>
      <s:c r="AJ45" s="42" t="inlineStr">
        <s:is>
          <s:t>Programmer A / review: Programmer B</s:t>
        </s:is>
      </s:c>
    </s:row>
    <s:row r="46" ht="155.1" customHeight="1" s="48">
      <s:c r="A46" s="17" t="inlineStr">
        <s:is>
          <s:t>S2-A06</s:t>
        </s:is>
      </s:c>
      <s:c r="B46" s="18" t="inlineStr">
        <s:is>
          <s:t>S2</s:t>
        </s:is>
      </s:c>
      <s:c r="C46" s="18" t="inlineStr">
        <s:is>
          <s:t>Meta Accounts</s:t>
        </s:is>
      </s:c>
      <s:c r="D46" s="12" t="inlineStr">
        <s:is>
          <s:t>Discover/select social accounts and capabilities</s:t>
        </s:is>
      </s:c>
      <s:c r="E46" s="13" t="inlineStr">
        <s:is>
          <s:t>Fetch manageable Page/Instagram Professional accounts, normalize account records and compute capability health.</s:t>
        </s:is>
      </s:c>
      <s:c r="F46" s="13" t="inlineStr">
        <s:is>
          <s:t>Consumer/unsupported account receives guided typed reason; account external ID unique; capability degradation visible.</s:t>
        </s:is>
      </s:c>
      <s:c r="G46" s="18" t="inlineStr">
        <s:is>
          <s:t>S2-A05</s:t>
        </s:is>
      </s:c>
      <s:c r="H46" s="18" t="inlineStr">
        <s:is>
          <s:t>P0</s:t>
        </s:is>
      </s:c>
      <s:c r="I46" s="18" t="inlineStr">
        <s:is>
          <s:t>Programmer A</s:t>
        </s:is>
      </s:c>
      <s:c r="J46" s="18" t="inlineStr">
        <s:is>
          <s:t>Programmer B</s:t>
        </s:is>
      </s:c>
      <s:c r="K46" s="18" t="n">
        <s:v>8</s:v>
      </s:c>
      <s:c r="L46" s="28" t="inlineStr">
        <s:is>
          <s:t>In Progress</s:t>
        </s:is>
      </s:c>
      <s:c r="M46" s="13" t="inlineStr">
        <s:is>
          <s:t>Meta test account/fixture tests</s:t>
        </s:is>
      </s:c>
      <s:c r="N46" s="18" t="inlineStr">
        <s:is>
          <s:t>RG-04</s:t>
        </s:is>
      </s:c>
      <s:c r="O46" s="13" t="inlineStr">
        <s:is>
          <s:t>Least scopes; no token in response.</s:t>
        </s:is>
      </s:c>
      <s:c r="P46" s="18" t="inlineStr">
        <s:is>
          <s:t>social account discovery</s:t>
        </s:is>
      </s:c>
      <s:c r="Q46" s="14">
        <s:f>INDEX('01_ROADMAP'!$C$5:$C$15,MATCH(B46,'01_ROADMAP'!$A$5:$A$15,0))</s:f>
        <s:v>46300.0</s:v>
      </s:c>
      <s:c r="R46" s="14">
        <s:f>INDEX('01_ROADMAP'!$D$5:$D$15,MATCH(B46,'01_ROADMAP'!$A$5:$A$15,0))</s:f>
        <s:v>46313.0</s:v>
      </s:c>
      <s:c r="S46" s="29" t="inlineStr">
        <s:is>
          <s:t>docs/backlog-deep-audit-2026-09-07.json#S2-A06</s:t>
        </s:is>
      </s:c>
      <s:c r="T46" s="13" t="inlineStr">
        <s:is>
          <s:t>META</s:t>
        </s:is>
      </s:c>
      <s:c r="U46" s="13" t="inlineStr">
        <s:is>
          <s:t>Integrations</s:t>
        </s:is>
      </s:c>
      <s:c r="V46" s="13" t="inlineStr">
        <s:is>
          <s:t>GA</s:t>
        </s:is>
      </s:c>
      <s:c r="W46" s="13" t="inlineStr">
        <s:is>
          <s:t>N/A / API-domain contract consumed by frontend where applicable.</s:t>
        </s:is>
      </s:c>
      <s:c r="X46" s="13" t="inlineStr">
        <s:is>
          <s:t>Acceptance Criteria + Test Evidence + Release Gate</s:t>
        </s:is>
      </s:c>
      <s:c r="Y46" s="54" t="inlineStr">
        <s:is>
          <s:t>Pjesërisht</s:t>
        </s:is>
      </s:c>
      <s:c r="Z46" s="56" t="inlineStr">
        <s:is>
          <s:t>Lexim/zgjedhje Page dhe Instagram Professional nga Graph; verifikim serveri i identitetit dhe publikimit; unike Page/IG në DB.</s:t>
        </s:is>
      </s:c>
      <s:c r="AA46" s="56" t="inlineStr">
        <s:is>
          <s:t>1. Nuk është provuar me llogari Meta reale; duhen capability/error fixtures, degraded/unsupported states dhe refresh i scopes.</s:t>
        </s:is>
      </s:c>
      <s:c r="AB46" s="56" t="inlineStr">
        <s:is>
          <s:t>Prova e kërkuar nga backlog-u: Meta test account/fixture tests
Kriteri për t'u verifikuar (nuk deklarohet i kaluar): Consumer/unsupported account receives guided typed reason; account external ID unique; capability degradation visible.
Pranimi kërkon edhe gate-et: RG-04. Asnjë gate nuk është shënuar Passed nga ky audit.</s:t>
        </s:is>
      </s:c>
      <s:c r="AC46" s="56" t="inlineStr">
        <s:is>
          <s:t>U rishikuan kodi/artefaktet dhe u kërkua implementimi i kësaj detyre. Nuk ka provë të ekzekutuar specifike që mbyll të gjithë kriterin; kontrollet globale nuk e zëvendësojnë atë.</s:t>
        </s:is>
      </s:c>
      <s:c r="AD46" s="56" t="inlineStr">
        <s:is>
          <s:t>apps/web/server/api/meta/pages.get.ts
apps/web/server/api/meta/select.post.ts
apps/web/server/api/meta/status.get.ts</s:t>
        </s:is>
      </s:c>
      <s:c r="AE46" s="42" t="inlineStr">
        <s:is>
          <s:t>Pjesërisht — kërkon zhvillim</s:t>
        </s:is>
      </s:c>
      <s:c r="AF46" s="42" t="inlineStr">
        <s:is>
          <s:t>Po</s:t>
        </s:is>
      </s:c>
      <s:c r="AG46" s="42" t="inlineStr">
        <s:is>
          <s:t>Po, pas implementimit</s:t>
        </s:is>
      </s:c>
      <s:c r="AH46" s="42" t="inlineStr">
        <s:is>
          <s:t>Nuk është provuar me llogari Meta reale; duhen capability/error fixtures, degraded/unsupported states dhe refresh i scopes.</s:t>
        </s:is>
      </s:c>
      <s:c r="AI46" s="42" t="inlineStr">
        <s:is>
          <s:t>docs/backlog-code-handoff-2026-09-08.json#S2-A06</s:t>
        </s:is>
      </s:c>
      <s:c r="AJ46" s="42" t="inlineStr">
        <s:is>
          <s:t>Programmer A / review: Programmer B</s:t>
        </s:is>
      </s:c>
    </s:row>
    <s:row r="47" ht="180" customHeight="1" s="48">
      <s:c r="A47" s="17" t="inlineStr">
        <s:is>
          <s:t>S2-A07</s:t>
        </s:is>
      </s:c>
      <s:c r="B47" s="18" t="inlineStr">
        <s:is>
          <s:t>S2</s:t>
        </s:is>
      </s:c>
      <s:c r="C47" s="18" t="inlineStr">
        <s:is>
          <s:t>Social Sync</s:t>
        </s:is>
      </s:c>
      <s:c r="D47" s="12" t="inlineStr">
        <s:is>
          <s:t>Implement incremental post/profile sync</s:t>
        </s:is>
      </s:c>
      <s:c r="E47" s="13" t="inlineStr">
        <s:is>
          <s:t>Create sync state/cursor, normalized external_posts/media upsert and idempotent initial/incremental workers.</s:t>
        </s:is>
      </s:c>
      <s:c r="F47" s="13" t="inlineStr">
        <s:is>
          <s:t>Resume after crash from checkpoint; duplicate external IDs not duplicated; revoked auth classified.</s:t>
        </s:is>
      </s:c>
      <s:c r="G47" s="18" t="inlineStr">
        <s:is>
          <s:t>S2-A06,S0-A08</s:t>
        </s:is>
      </s:c>
      <s:c r="H47" s="18" t="inlineStr">
        <s:is>
          <s:t>P0</s:t>
        </s:is>
      </s:c>
      <s:c r="I47" s="18" t="inlineStr">
        <s:is>
          <s:t>Programmer A</s:t>
        </s:is>
      </s:c>
      <s:c r="J47" s="18" t="inlineStr">
        <s:is>
          <s:t>Programmer B</s:t>
        </s:is>
      </s:c>
      <s:c r="K47" s="18" t="n">
        <s:v>10</s:v>
      </s:c>
      <s:c r="L47" s="28" t="inlineStr">
        <s:is>
          <s:t>In Progress</s:t>
        </s:is>
      </s:c>
      <s:c r="M47" s="13" t="inlineStr">
        <s:is>
          <s:t>Crash/resume + fixture tests</s:t>
        </s:is>
      </s:c>
      <s:c r="N47" s="18" t="inlineStr">
        <s:is>
          <s:t>RG-04</s:t>
        </s:is>
      </s:c>
      <s:c r="O47" s="13" t="inlineStr">
        <s:is>
          <s:t>Imported provider payload minimized.</s:t>
        </s:is>
      </s:c>
      <s:c r="P47" s="18" t="inlineStr">
        <s:is>
          <s:t>social sync workers</s:t>
        </s:is>
      </s:c>
      <s:c r="Q47" s="14">
        <s:f>INDEX('01_ROADMAP'!$C$5:$C$15,MATCH(B47,'01_ROADMAP'!$A$5:$A$15,0))</s:f>
        <s:v>46300.0</s:v>
      </s:c>
      <s:c r="R47" s="14">
        <s:f>INDEX('01_ROADMAP'!$D$5:$D$15,MATCH(B47,'01_ROADMAP'!$A$5:$A$15,0))</s:f>
        <s:v>46313.0</s:v>
      </s:c>
      <s:c r="S47" s="29" t="inlineStr">
        <s:is>
          <s:t>docs/backlog-partial-progress-2026-09-08.json#S2-A07</s:t>
        </s:is>
      </s:c>
      <s:c r="T47" s="13" t="inlineStr">
        <s:is>
          <s:t>META</s:t>
        </s:is>
      </s:c>
      <s:c r="U47" s="13" t="inlineStr">
        <s:is>
          <s:t>Platform</s:t>
        </s:is>
      </s:c>
      <s:c r="V47" s="13" t="inlineStr">
        <s:is>
          <s:t>GA</s:t>
        </s:is>
      </s:c>
      <s:c r="W47" s="13" t="inlineStr">
        <s:is>
          <s:t>N/A / API-domain contract consumed by frontend where applicable.</s:t>
        </s:is>
      </s:c>
      <s:c r="X47" s="13" t="inlineStr">
        <s:is>
          <s:t>Acceptance Criteria + Test Evidence + Release Gate</s:t>
        </s:is>
      </s:c>
      <s:c r="Y47" s="54" t="inlineStr">
        <s:is>
          <s:t>Pjesërisht</s:t>
        </s:is>
      </s:c>
      <s:c r="Z47" s="55" t="inlineStr">
        <s:is>
          <s:t>Migrimi 0008 ruan source_account_id; uniciteti, query-t, ndërrimi i faqes dhe konteksti AI filtrohen sipas llogarisë aktuale. Provider ID i njëjtë në dy faqe nuk përzihet.</s:t>
        </s:is>
      </s:c>
      <s:c r="AA47" s="55" t="inlineStr">
        <s:is>
          <s:t>Mbeten durable incremental worker, checkpoint/cursor i ruajtur, crash resume, revoked-auth taxonomy, inference dhe test live Meta.</s:t>
        </s:is>
      </s:c>
      <s:c r="AB47" s="55" t="inlineStr">
        <s:is>
          <s:t>Prova e kërkuar nga backlog-u: Crash/resume + fixture tests
Kriteri për t'u verifikuar (nuk deklarohet i kaluar): Resume after crash from checkpoint; duplicate external IDs not duplicated; revoked auth classified.
DA-05: Import nga faqja A, lidh faqen B, import i ri: lista dhe konteksti i B përmbajnë vetëm burimet e zgjedhura, me provenance të ruajtur.
Pranimi kërkon edhe gate-et: RG-04. Asnjë gate nuk është shënuar Passed nga ky audit.</s:t>
        </s:is>
      </s:c>
      <s:c r="AC47" s="55" t="inlineStr">
        <s:is>
          <s:t>Integration test provon dy source accounts dhe duplicate brenda të njëjtit source. Nuk u krye ndërrim me dy faqe reale.</s:t>
        </s:is>
      </s:c>
      <s:c r="AD47" s="55" t="inlineStr">
        <s:is>
          <s:t>apps/web/database/migrations/0008_provider_reliability.sql
apps/web/server/api/meta/sync.post.ts
apps/web/server/api/meta/posts.get.ts
apps/web/server/api/meta/select.post.ts
apps/web/server/api/ai/captions.post.ts</s:t>
        </s:is>
      </s:c>
      <s:c r="AE47" s="42" t="inlineStr">
        <s:is>
          <s:t>Pjesërisht — kërkon zhvillim</s:t>
        </s:is>
      </s:c>
      <s:c r="AF47" s="42" t="inlineStr">
        <s:is>
          <s:t>Po</s:t>
        </s:is>
      </s:c>
      <s:c r="AG47" s="42" t="inlineStr">
        <s:is>
          <s:t>Po, pas implementimit</s:t>
        </s:is>
      </s:c>
      <s:c r="AH47" s="42" t="inlineStr">
        <s:is>
          <s:t>Mbeten durable incremental worker, checkpoint/cursor i ruajtur, crash resume, revoked-auth taxonomy, inference dhe test live Meta.</s:t>
        </s:is>
      </s:c>
      <s:c r="AI47" s="42" t="inlineStr">
        <s:is>
          <s:t>docs/backlog-code-handoff-2026-09-08.json#S2-A07</s:t>
        </s:is>
      </s:c>
      <s:c r="AJ47" s="42" t="inlineStr">
        <s:is>
          <s:t>Programmer A / review: Programmer B</s:t>
        </s:is>
      </s:c>
    </s:row>
    <s:row r="48" ht="155.1" customHeight="1" s="48">
      <s:c r="A48" s="17" t="inlineStr">
        <s:is>
          <s:t>S2-A08</s:t>
        </s:is>
      </s:c>
      <s:c r="B48" s="18" t="inlineStr">
        <s:is>
          <s:t>S2</s:t>
        </s:is>
      </s:c>
      <s:c r="C48" s="18" t="inlineStr">
        <s:is>
          <s:t>Webhooks</s:t>
        </s:is>
      </s:c>
      <s:c r="D48" s="12" t="inlineStr">
        <s:is>
          <s:t>Implement Meta webhook verification and dedupe</s:t>
        </s:is>
      </s:c>
      <s:c r="E48" s="13" t="inlineStr">
        <s:is>
          <s:t>Implement challenge/signature validation, event fingerprint store, enqueue processing and replay handling.</s:t>
        </s:is>
      </s:c>
      <s:c r="F48" s="13" t="inlineStr">
        <s:is>
          <s:t>Invalid signature rejected; same event processed once logically; handler responds fast before heavy work.</s:t>
        </s:is>
      </s:c>
      <s:c r="G48" s="18" t="inlineStr">
        <s:is>
          <s:t>S2-A04,S0-A08</s:t>
        </s:is>
      </s:c>
      <s:c r="H48" s="18" t="inlineStr">
        <s:is>
          <s:t>P0</s:t>
        </s:is>
      </s:c>
      <s:c r="I48" s="18" t="inlineStr">
        <s:is>
          <s:t>Programmer A</s:t>
        </s:is>
      </s:c>
      <s:c r="J48" s="18" t="inlineStr">
        <s:is>
          <s:t>Programmer B</s:t>
        </s:is>
      </s:c>
      <s:c r="K48" s="18" t="n">
        <s:v>8</s:v>
      </s:c>
      <s:c r="L48" s="30" t="inlineStr">
        <s:is>
          <s:t>Not Started</s:t>
        </s:is>
      </s:c>
      <s:c r="M48" s="13" t="inlineStr">
        <s:is>
          <s:t>Signature/replay integration tests</s:t>
        </s:is>
      </s:c>
      <s:c r="N48" s="18" t="inlineStr">
        <s:is>
          <s:t>RG-04</s:t>
        </s:is>
      </s:c>
      <s:c r="O48" s="13" t="inlineStr">
        <s:is>
          <s:t>Untrusted internet ingress.</s:t>
        </s:is>
      </s:c>
      <s:c r="P48" s="18" t="inlineStr">
        <s:is>
          <s:t>Meta webhook endpoint</s:t>
        </s:is>
      </s:c>
      <s:c r="Q48" s="14">
        <s:f>INDEX('01_ROADMAP'!$C$5:$C$15,MATCH(B48,'01_ROADMAP'!$A$5:$A$15,0))</s:f>
        <s:v>46300.0</s:v>
      </s:c>
      <s:c r="R48" s="14">
        <s:f>INDEX('01_ROADMAP'!$D$5:$D$15,MATCH(B48,'01_ROADMAP'!$A$5:$A$15,0))</s:f>
        <s:v>46313.0</s:v>
      </s:c>
      <s:c r="S48" s="29" t="inlineStr">
        <s:is>
          <s:t>docs/backlog-deep-audit-2026-09-07.json#S2-A08</s:t>
        </s:is>
      </s:c>
      <s:c r="T48" s="13" t="inlineStr">
        <s:is>
          <s:t>META</s:t>
        </s:is>
      </s:c>
      <s:c r="U48" s="13" t="inlineStr">
        <s:is>
          <s:t>Integrations</s:t>
        </s:is>
      </s:c>
      <s:c r="V48" s="13" t="inlineStr">
        <s:is>
          <s:t>GA</s:t>
        </s:is>
      </s:c>
      <s:c r="W48" s="13" t="inlineStr">
        <s:is>
          <s:t>N/A / API-domain contract consumed by frontend where applicable.</s:t>
        </s:is>
      </s:c>
      <s:c r="X48" s="13" t="inlineStr">
        <s:is>
          <s:t>Acceptance Criteria + Test Evidence + Release Gate</s:t>
        </s:is>
      </s:c>
      <s:c r="Y48" s="57" t="inlineStr">
        <s:is>
          <s:t>Pa filluar</s:t>
        </s:is>
      </s:c>
      <s:c r="Z48" s="56" t="inlineStr">
        <s:is>
          <s:t>Nuk ka endpoint për Meta webhook challenge/signature/dedupe.</s:t>
        </s:is>
      </s:c>
      <s:c r="AA48" s="56" t="inlineStr">
        <s:is>
          <s:t>1. Implemento challenge dhe signature verification të webhook-ut Meta; ruaj fingerprint, prano shpejt dhe enqueue përpunimin. Provo nënshkrim të pavlefshëm, replay dhe duplicate delivery.</s:t>
        </s:is>
      </s:c>
      <s:c r="AB48" s="56" t="inlineStr">
        <s:is>
          <s:t>Prova e kërkuar nga backlog-u: Signature/replay integration tests
Kriteri për t'u verifikuar (nuk deklarohet i kaluar): Invalid signature rejected; same event processed once logically; handler responds fast before heavy work.
Pranimi kërkon edhe gate-et: RG-04. Asnjë gate nuk është shënuar Passed nga ky audit.</s:t>
        </s:is>
      </s:c>
      <s:c r="AC48" s="56" t="inlineStr">
        <s:is>
          <s:t>U rishikuan kodi/artefaktet dhe u kërkua implementimi i kësaj detyre. Nuk ka provë të ekzekutuar specifike që mbyll të gjithë kriterin; kontrollet globale nuk e zëvendësojnë atë.</s:t>
        </s:is>
      </s:c>
      <s:c r="AD48" s="56" t="inlineStr">
        <s:is>
          <s:t>Nuk u gjet implementim specifik; shiko kriterin dhe hapat në AA/AB.</s:t>
        </s:is>
      </s:c>
      <s:c r="AE48" s="42" t="inlineStr">
        <s:is>
          <s:t>Pa filluar</s:t>
        </s:is>
      </s:c>
      <s:c r="AF48" s="42" t="inlineStr">
        <s:is>
          <s:t>Po</s:t>
        </s:is>
      </s:c>
      <s:c r="AG48" s="42" t="inlineStr">
        <s:is>
          <s:t>Po, pas implementimit</s:t>
        </s:is>
      </s:c>
      <s:c r="AH48" s="42" t="inlineStr">
        <s:is>
          <s:t>Implemento challenge dhe signature verification të webhook-ut Meta; ruaj fingerprint, prano shpejt dhe enqueue përpunimin. Provo nënshkrim të pavlefshëm, replay dhe duplicate delivery.</s:t>
        </s:is>
      </s:c>
      <s:c r="AI48" s="42" t="inlineStr">
        <s:is>
          <s:t>docs/backlog-code-handoff-2026-09-08.json#S2-A08</s:t>
        </s:is>
      </s:c>
      <s:c r="AJ48" s="42" t="inlineStr">
        <s:is>
          <s:t>Programmer A / review: Programmer B</s:t>
        </s:is>
      </s:c>
    </s:row>
    <s:row r="49" ht="155.1" customHeight="1" s="48">
      <s:c r="A49" s="17" t="inlineStr">
        <s:is>
          <s:t>S2-A09</s:t>
        </s:is>
      </s:c>
      <s:c r="B49" s="18" t="inlineStr">
        <s:is>
          <s:t>S2</s:t>
        </s:is>
      </s:c>
      <s:c r="C49" s="18" t="inlineStr">
        <s:is>
          <s:t>Meta Readiness</s:t>
        </s:is>
      </s:c>
      <s:c r="D49" s="12" t="inlineStr">
        <s:is>
          <s:t>Prepare Meta App Review evidence package</s:t>
        </s:is>
      </s:c>
      <s:c r="E49" s="13" t="inlineStr">
        <s:is>
          <s:t>Document permissions/use cases, privacy URLs, screencast checklist, test user/account steps and submit/prepare required access review early.</s:t>
        </s:is>
      </s:c>
      <s:c r="F49" s="13" t="inlineStr">
        <s:is>
          <s:t>Required scopes mapped to product feature; evidence package complete; status/owner tracked outside code.</s:t>
        </s:is>
      </s:c>
      <s:c r="G49" s="18" t="inlineStr">
        <s:is>
          <s:t>S2-A05,S2-A06</s:t>
        </s:is>
      </s:c>
      <s:c r="H49" s="18" t="inlineStr">
        <s:is>
          <s:t>P0</s:t>
        </s:is>
      </s:c>
      <s:c r="I49" s="18" t="inlineStr">
        <s:is>
          <s:t>Programmer A</s:t>
        </s:is>
      </s:c>
      <s:c r="J49" s="18" t="inlineStr">
        <s:is>
          <s:t>Programmer B</s:t>
        </s:is>
      </s:c>
      <s:c r="K49" s="18" t="n">
        <s:v>5</s:v>
      </s:c>
      <s:c r="L49" s="33" t="inlineStr">
        <s:is>
          <s:t>Blocked</s:t>
        </s:is>
      </s:c>
      <s:c r="M49" s="13" t="inlineStr">
        <s:is>
          <s:t>Manual review checklist</s:t>
        </s:is>
      </s:c>
      <s:c r="N49" s="18" t="inlineStr">
        <s:is>
          <s:t>RG-04</s:t>
        </s:is>
      </s:c>
      <s:c r="O49" s="13" t="inlineStr">
        <s:is>
          <s:t>Request minimum permissions.</s:t>
        </s:is>
      </s:c>
      <s:c r="P49" s="18" t="inlineStr">
        <s:is>
          <s:t>docs/meta-app-review</s:t>
        </s:is>
      </s:c>
      <s:c r="Q49" s="14">
        <s:f>INDEX('01_ROADMAP'!$C$5:$C$15,MATCH(B49,'01_ROADMAP'!$A$5:$A$15,0))</s:f>
        <s:v>46300.0</s:v>
      </s:c>
      <s:c r="R49" s="14">
        <s:f>INDEX('01_ROADMAP'!$D$5:$D$15,MATCH(B49,'01_ROADMAP'!$A$5:$A$15,0))</s:f>
        <s:v>46313.0</s:v>
      </s:c>
      <s:c r="S49" s="29" t="inlineStr">
        <s:is>
          <s:t>docs/backlog-deep-audit-2026-09-07.json#S2-A09</s:t>
        </s:is>
      </s:c>
      <s:c r="T49" s="13" t="inlineStr">
        <s:is>
          <s:t>META</s:t>
        </s:is>
      </s:c>
      <s:c r="U49" s="13" t="inlineStr">
        <s:is>
          <s:t>Integrations</s:t>
        </s:is>
      </s:c>
      <s:c r="V49" s="13" t="inlineStr">
        <s:is>
          <s:t>GA</s:t>
        </s:is>
      </s:c>
      <s:c r="W49" s="13" t="inlineStr">
        <s:is>
          <s:t>N/A / API-domain contract consumed by frontend where applicable.</s:t>
        </s:is>
      </s:c>
      <s:c r="X49" s="13" t="inlineStr">
        <s:is>
          <s:t>Acceptance Criteria + Test Evidence + Release Gate</s:t>
        </s:is>
      </s:c>
      <s:c r="Y49" s="60" t="inlineStr">
        <s:is>
          <s:t>Bllokuar</s:t>
        </s:is>
      </s:c>
      <s:c r="Z49" s="55" t="inlineStr">
        <s:is>
          <s:t>Ekzistojnë rrugë privacy/terms dhe kod OAuth; kontrolli lokal konfirmon se Meta App credentials mungojnë.</s:t>
        </s:is>
      </s:c>
      <s:c r="AA49" s="55" t="inlineStr">
        <s:is>
          <s:t>1. Duhet Meta App i platformës nga pronari i llogarisë, konfigurim HTTPS/scopes, review/screencast, webhook/deletion callbacks dhe non-developer business smoke. Secili biznes lidhet individualisht më pas.</s:t>
        </s:is>
      </s:c>
      <s:c r="AB49" s="55" t="inlineStr">
        <s:is>
          <s:t>Prova e kërkuar nga backlog-u: Manual review checklist
Kriteri për t'u verifikuar (nuk deklarohet i kaluar): Required scopes mapped to product feature; evidence package complete; status/owner tracked outside code.
Pranimi kërkon edhe gate-et: RG-04. Asnjë gate nuk është shënuar Passed nga ky audit.</s:t>
        </s:is>
      </s:c>
      <s:c r="AC49" s="55" t="inlineStr">
        <s:is>
          <s:t>Varësi e jashtme Meta App/access e pazgjidhur. Nuk ka provë live me biznes jo-developer; kod OAuth i pranishëm nuk e mbyll App Review.</s:t>
        </s:is>
      </s:c>
      <s:c r="AD49" s="55" t="inlineStr">
        <s:is>
          <s:t>apps/web/server/utils/meta.ts
apps/web/server/api/capabilities.get.ts
apps/web/app/components/PolicyPage.vue</s:t>
        </s:is>
      </s:c>
      <s:c r="AE49" s="42" t="inlineStr">
        <s:is>
          <s:t>Bllokuar nga varësi e jashtme</s:t>
        </s:is>
      </s:c>
      <s:c r="AF49" s="42" t="inlineStr">
        <s:is>
          <s:t>Po, pas zhbllokimit</s:t>
        </s:is>
      </s:c>
      <s:c r="AG49" s="42" t="inlineStr">
        <s:is>
          <s:t>Po — pronari/provider-i</s:t>
        </s:is>
      </s:c>
      <s:c r="AH49" s="42" t="inlineStr">
        <s:is>
          <s:t>Duhet Meta App i platformës nga pronari i llogarisë, konfigurim HTTPS/scopes, review/screencast, webhook/deletion callbacks dhe non-developer business smoke. Secili biznes lidhet individualisht më pas.</s:t>
        </s:is>
      </s:c>
      <s:c r="AI49" s="42" t="inlineStr">
        <s:is>
          <s:t>docs/backlog-code-handoff-2026-09-08.json#S2-A09</s:t>
        </s:is>
      </s:c>
      <s:c r="AJ49" s="42" t="inlineStr">
        <s:is>
          <s:t>Programmer A / review: Programmer B</s:t>
        </s:is>
      </s:c>
    </s:row>
    <s:row r="50" ht="159" customHeight="1" s="48">
      <s:c r="A50" s="17" t="inlineStr">
        <s:is>
          <s:t>S2-B01</s:t>
        </s:is>
      </s:c>
      <s:c r="B50" s="18" t="inlineStr">
        <s:is>
          <s:t>S2</s:t>
        </s:is>
      </s:c>
      <s:c r="C50" s="18" t="inlineStr">
        <s:is>
          <s:t>Gallery UX</s:t>
        </s:is>
      </s:c>
      <s:c r="D50" s="12" t="inlineStr">
        <s:is>
          <s:t>Build gallery list/grid/search filters</s:t>
        </s:is>
      </s:c>
      <s:c r="E50" s="13" t="inlineStr">
        <s:is>
          <s:t>Create responsive gallery with pagination, asset type/status/tags/orientation filters, selection and empty/loading/error states.</s:t>
        </s:is>
      </s:c>
      <s:c r="F50" s="13" t="inlineStr">
        <s:is>
          <s:t>Works with 500+ fixture assets without DOM explosion; keyboard selectable; cursor pagination.</s:t>
        </s:is>
      </s:c>
      <s:c r="G50" s="18" t="inlineStr">
        <s:is>
          <s:t>S2-A01,S1-B07</s:t>
        </s:is>
      </s:c>
      <s:c r="H50" s="18" t="inlineStr">
        <s:is>
          <s:t>P0</s:t>
        </s:is>
      </s:c>
      <s:c r="I50" s="18" t="inlineStr">
        <s:is>
          <s:t>Programmer B</s:t>
        </s:is>
      </s:c>
      <s:c r="J50" s="18" t="inlineStr">
        <s:is>
          <s:t>Programmer A</s:t>
        </s:is>
      </s:c>
      <s:c r="K50" s="18" t="n">
        <s:v>10</s:v>
      </s:c>
      <s:c r="L50" s="28" t="inlineStr">
        <s:is>
          <s:t>In Progress</s:t>
        </s:is>
      </s:c>
      <s:c r="M50" s="13" t="inlineStr">
        <s:is>
          <s:t>Component + E2E gallery tests</s:t>
        </s:is>
      </s:c>
      <s:c r="N50" s="18" t="inlineStr">
        <s:is>
          <s:t>RG-14</s:t>
        </s:is>
      </s:c>
      <s:c r="O50" s="13" t="inlineStr">
        <s:is>
          <s:t>Only scoped brand assets requested.</s:t>
        </s:is>
      </s:c>
      <s:c r="P50" s="18" t="inlineStr">
        <s:is>
          <s:t>gallery UI</s:t>
        </s:is>
      </s:c>
      <s:c r="Q50" s="14">
        <s:f>INDEX('01_ROADMAP'!$C$5:$C$15,MATCH(B50,'01_ROADMAP'!$A$5:$A$15,0))</s:f>
        <s:v>46300.0</s:v>
      </s:c>
      <s:c r="R50" s="14">
        <s:f>INDEX('01_ROADMAP'!$D$5:$D$15,MATCH(B50,'01_ROADMAP'!$A$5:$A$15,0))</s:f>
        <s:v>46313.0</s:v>
      </s:c>
      <s:c r="S50" s="29" t="inlineStr">
        <s:is>
          <s:t>docs/backlog-deep-audit-2026-09-07.json#S2-B01</s:t>
        </s:is>
      </s:c>
      <s:c r="T50" s="13" t="inlineStr">
        <s:is>
          <s:t>FRONTEND</s:t>
        </s:is>
      </s:c>
      <s:c r="U50" s="13" t="inlineStr">
        <s:is>
          <s:t>Gallery</s:t>
        </s:is>
      </s:c>
      <s:c r="V50" s="13" t="inlineStr">
        <s:is>
          <s:t>GA</s:t>
        </s:is>
      </s:c>
      <s:c r="W50" s="13" t="inlineStr">
        <s:is>
          <s:t>See companion DOCX; use Nuxt UI primitives and shared design system for user-facing tasks.</s:t>
        </s:is>
      </s:c>
      <s:c r="X50" s="13" t="inlineStr">
        <s:is>
          <s:t>Acceptance Criteria + Test Evidence + Release Gate</s:t>
        </s:is>
      </s:c>
      <s:c r="Y50" s="54" t="inlineStr">
        <s:is>
          <s:t>Pjesërisht</s:t>
        </s:is>
      </s:c>
      <s:c r="Z50" s="56" t="inlineStr">
        <s:is>
          <s:t>Galeri listë/grid me search/tags, selection dhe pagination UI.</s:t>
        </s:is>
      </s:c>
      <s:c r="AA50" s="56" t="inlineStr">
        <s:is>
          <s:t>1. Ngarkohen të gjitha asset-et e workspace në klient; mungojnë cursor API/type-status-orientation filters dhe provë 500+ asset.
2. DA-09: Shto API të kufizuara për lista/kërkim dhe commands të veçanta për mutacione, me revision/idempotency dhe thumbnails sipas nevojës.</s:t>
        </s:is>
      </s:c>
      <s:c r="AB50" s="56" t="inlineStr">
        <s:is>
          <s:t>Prova e kërkuar nga backlog-u: Component + E2E gallery tests
Kriteri për t'u verifikuar (nuk deklarohet i kaluar): Works with 500+ fixture assets without DOM explosion; keyboard selectable; cursor pagination.
DA-09: Fixture 500+ asset dhe 1000 postime: mat bytes/p95/memorien; filtër/cursor nuk kalon tenant-in dhe ndryshimi i një postimi nuk rishkruan gjithë listën.
Pranimi kërkon edhe gate-et: RG-14. Asnjë gate nuk është shënuar Passed nga ky audit.</s:t>
        </s:is>
      </s:c>
      <s:c r="AC50" s="56" t="inlineStr">
        <s:is>
          <s:t>U rishikuan kodi/artefaktet dhe u kërkua implementimi i kësaj detyre. Nuk ka provë të ekzekutuar specifike që mbyll të gjithë kriterin; kontrollet globale nuk e zëvendësojnë atë.</s:t>
        </s:is>
      </s:c>
      <s:c r="AD50" s="56" t="inlineStr">
        <s:is>
          <s:t>apps/web/app/pages/app/[org]/[brand]/gallery.vue
apps/web/server/utils/workspaces.ts
apps/web/app/composables/usePagination.ts:12
apps/web/app/composables/useWorkspace.ts:27
apps/web/app/composables/useWorkspace.ts:54
apps/web/app/layouts/dashboard.vue:102
DA-09: Listat e postimeve/galerisë dhe kërkimi global ngarkojnë workspace-in e plotë; ruajtjet dërgojnë snapshot të plotë. Importet Meta kanë query pagination të veçantë. Prova me 13 postime kalon, por nuk është provë ngarkese.</s:t>
        </s:is>
      </s:c>
      <s:c r="AE50" s="42" t="inlineStr">
        <s:is>
          <s:t>Pjesërisht — kërkon zhvillim</s:t>
        </s:is>
      </s:c>
      <s:c r="AF50" s="42" t="inlineStr">
        <s:is>
          <s:t>Po</s:t>
        </s:is>
      </s:c>
      <s:c r="AG50" s="42" t="inlineStr">
        <s:is>
          <s:t>Po, pas implementimit</s:t>
        </s:is>
      </s:c>
      <s:c r="AH50" s="42" t="inlineStr">
        <s:is>
          <s:t>Ngarkohen të gjitha asset-et e workspace në klient; mungojnë cursor API/type-status-orientation filters dhe provë 500+ asset. 2.</s:t>
        </s:is>
      </s:c>
      <s:c r="AI50" s="42" t="inlineStr">
        <s:is>
          <s:t>docs/backlog-code-handoff-2026-09-08.json#S2-B01</s:t>
        </s:is>
      </s:c>
      <s:c r="AJ50" s="42" t="inlineStr">
        <s:is>
          <s:t>Programmer B / review: Programmer A</s:t>
        </s:is>
      </s:c>
    </s:row>
    <s:row r="51" ht="155.1" customHeight="1" s="48">
      <s:c r="A51" s="17" t="inlineStr">
        <s:is>
          <s:t>S2-B02</s:t>
        </s:is>
      </s:c>
      <s:c r="B51" s="18" t="inlineStr">
        <s:is>
          <s:t>S2</s:t>
        </s:is>
      </s:c>
      <s:c r="C51" s="18" t="inlineStr">
        <s:is>
          <s:t>Gallery UX</s:t>
        </s:is>
      </s:c>
      <s:c r="D51" s="12" t="inlineStr">
        <s:is>
          <s:t>Build direct upload experience</s:t>
        </s:is>
      </s:c>
      <s:c r="E51" s="13" t="inlineStr">
        <s:is>
          <s:t>Implement drag/drop/file picker, signed direct upload, progress, cancel/retry and finalize status polling.</s:t>
        </s:is>
      </s:c>
      <s:c r="F51" s="13" t="inlineStr">
        <s:is>
          <s:t>Multiple upload progress independent; failed finalize explains safe reason; refresh recovers processing state.</s:t>
        </s:is>
      </s:c>
      <s:c r="G51" s="18" t="inlineStr">
        <s:is>
          <s:t>S2-A01,S2-A02</s:t>
        </s:is>
      </s:c>
      <s:c r="H51" s="18" t="inlineStr">
        <s:is>
          <s:t>P0</s:t>
        </s:is>
      </s:c>
      <s:c r="I51" s="18" t="inlineStr">
        <s:is>
          <s:t>Programmer B</s:t>
        </s:is>
      </s:c>
      <s:c r="J51" s="18" t="inlineStr">
        <s:is>
          <s:t>Programmer A</s:t>
        </s:is>
      </s:c>
      <s:c r="K51" s="18" t="n">
        <s:v>9</s:v>
      </s:c>
      <s:c r="L51" s="28" t="inlineStr">
        <s:is>
          <s:t>In Progress</s:t>
        </s:is>
      </s:c>
      <s:c r="M51" s="13" t="inlineStr">
        <s:is>
          <s:t>E2E upload valid/invalid/mobile</s:t>
        </s:is>
      </s:c>
      <s:c r="N51" s="18" t="inlineStr">
        <s:is>
          <s:t>RG-05,RG-14</s:t>
        </s:is>
      </s:c>
      <s:c r="O51" s="13" t="inlineStr">
        <s:is>
          <s:t>No public upload URL exposure beyond signed target.</s:t>
        </s:is>
      </s:c>
      <s:c r="P51" s="18" t="inlineStr">
        <s:is>
          <s:t>upload UI</s:t>
        </s:is>
      </s:c>
      <s:c r="Q51" s="14">
        <s:f>INDEX('01_ROADMAP'!$C$5:$C$15,MATCH(B51,'01_ROADMAP'!$A$5:$A$15,0))</s:f>
        <s:v>46300.0</s:v>
      </s:c>
      <s:c r="R51" s="14">
        <s:f>INDEX('01_ROADMAP'!$D$5:$D$15,MATCH(B51,'01_ROADMAP'!$A$5:$A$15,0))</s:f>
        <s:v>46313.0</s:v>
      </s:c>
      <s:c r="S51" s="29" t="inlineStr">
        <s:is>
          <s:t>docs/backlog-deep-audit-2026-09-07.json#S2-B02</s:t>
        </s:is>
      </s:c>
      <s:c r="T51" s="13" t="inlineStr">
        <s:is>
          <s:t>FRONTEND</s:t>
        </s:is>
      </s:c>
      <s:c r="U51" s="13" t="inlineStr">
        <s:is>
          <s:t>Gallery</s:t>
        </s:is>
      </s:c>
      <s:c r="V51" s="13" t="inlineStr">
        <s:is>
          <s:t>GA</s:t>
        </s:is>
      </s:c>
      <s:c r="W51" s="13" t="inlineStr">
        <s:is>
          <s:t>See companion DOCX; use Nuxt UI primitives and shared design system for user-facing tasks.</s:t>
        </s:is>
      </s:c>
      <s:c r="X51" s="13" t="inlineStr">
        <s:is>
          <s:t>Acceptance Criteria + Test Evidence + Release Gate</s:t>
        </s:is>
      </s:c>
      <s:c r="Y51" s="54" t="inlineStr">
        <s:is>
          <s:t>Pjesërisht</s:t>
        </s:is>
      </s:c>
      <s:c r="Z51" s="55" t="inlineStr">
        <s:is>
          <s:t>Nuxt UI file upload, multi-file processing/progress, preview dhe ruajtje reale në server.</s:t>
        </s:is>
      </s:c>
      <s:c r="AA51" s="55" t="inlineStr">
        <s:is>
          <s:t>1. Nuk është signed direct upload; mungojnë cancel/retry të pavarura, finalize polling dhe recovery i punëve processing.</s:t>
        </s:is>
      </s:c>
      <s:c r="AB51" s="55" t="inlineStr">
        <s:is>
          <s:t>Prova e kërkuar nga backlog-u: E2E upload valid/invalid/mobile
Kriteri për t'u verifikuar (nuk deklarohet i kaluar): Multiple upload progress independent; failed finalize explains safe reason; refresh recovers processing state.
Pranimi kërkon edhe gate-et: RG-05,RG-14. Asnjë gate nuk është shënuar Passed nga ky audit.</s:t>
        </s:is>
      </s:c>
      <s:c r="AC51" s="55" t="inlineStr">
        <s:is>
          <s:t>U rishikuan kodi/artefaktet dhe u kërkua implementimi i kësaj detyre. Nuk ka provë të ekzekutuar specifike që mbyll të gjithë kriterin; kontrollet globale nuk e zëvendësojnë atë.</s:t>
        </s:is>
      </s:c>
      <s:c r="AD51" s="55" t="inlineStr">
        <s:is>
          <s:t>apps/web/app/components/PhotoUpload.vue
apps/web/app/pages/app/[org]/[brand]/gallery.vue</s:t>
        </s:is>
      </s:c>
      <s:c r="AE51" s="42" t="inlineStr">
        <s:is>
          <s:t>Pjesërisht — kërkon zhvillim</s:t>
        </s:is>
      </s:c>
      <s:c r="AF51" s="42" t="inlineStr">
        <s:is>
          <s:t>Po</s:t>
        </s:is>
      </s:c>
      <s:c r="AG51" s="42" t="inlineStr">
        <s:is>
          <s:t>Po, pas implementimit</s:t>
        </s:is>
      </s:c>
      <s:c r="AH51" s="42" t="inlineStr">
        <s:is>
          <s:t>Nuk është signed direct upload; mungojnë cancel/retry të pavarura, finalize polling dhe recovery i punëve processing.</s:t>
        </s:is>
      </s:c>
      <s:c r="AI51" s="42" t="inlineStr">
        <s:is>
          <s:t>docs/backlog-code-handoff-2026-09-08.json#S2-B02</s:t>
        </s:is>
      </s:c>
      <s:c r="AJ51" s="42" t="inlineStr">
        <s:is>
          <s:t>Programmer B / review: Programmer A</s:t>
        </s:is>
      </s:c>
    </s:row>
    <s:row r="52" ht="180" customHeight="1" s="48">
      <s:c r="A52" s="17" t="inlineStr">
        <s:is>
          <s:t>S2-B03</s:t>
        </s:is>
      </s:c>
      <s:c r="B52" s="18" t="inlineStr">
        <s:is>
          <s:t>S2</s:t>
        </s:is>
      </s:c>
      <s:c r="C52" s="18" t="inlineStr">
        <s:is>
          <s:t>Asset UX</s:t>
        </s:is>
      </s:c>
      <s:c r="D52" s="12" t="inlineStr">
        <s:is>
          <s:t>Build asset detail and metadata editor</s:t>
        </s:is>
      </s:c>
      <s:c r="E52" s="13" t="inlineStr">
        <s:is>
          <s:t>Show original/variants, dimensions, processing status, tags, recent usage and safe delete confirmation/reference conflicts.</s:t>
        </s:is>
      </s:c>
      <s:c r="F52" s="13" t="inlineStr">
        <s:is>
          <s:t>Delete blocked/explained when publishable content depends on asset; metadata edits persist.</s:t>
        </s:is>
      </s:c>
      <s:c r="G52" s="18" t="inlineStr">
        <s:is>
          <s:t>S2-A03,S2-B01</s:t>
        </s:is>
      </s:c>
      <s:c r="H52" s="18" t="inlineStr">
        <s:is>
          <s:t>P1</s:t>
        </s:is>
      </s:c>
      <s:c r="I52" s="18" t="inlineStr">
        <s:is>
          <s:t>Programmer B</s:t>
        </s:is>
      </s:c>
      <s:c r="J52" s="18" t="inlineStr">
        <s:is>
          <s:t>Programmer A</s:t>
        </s:is>
      </s:c>
      <s:c r="K52" s="18" t="n">
        <s:v>7</s:v>
      </s:c>
      <s:c r="L52" s="28" t="inlineStr">
        <s:is>
          <s:t>In Progress</s:t>
        </s:is>
      </s:c>
      <s:c r="M52" s="13" t="inlineStr">
        <s:is>
          <s:t>E2E metadata/delete tests</s:t>
        </s:is>
      </s:c>
      <s:c r="N52" s="18" t="inlineStr">
        <s:is>
          <s:t>RG-05</s:t>
        </s:is>
      </s:c>
      <s:c r="O52" s="13" t="inlineStr">
        <s:is>
          <s:t>No cross-brand asset references.</s:t>
        </s:is>
      </s:c>
      <s:c r="P52" s="18" t="inlineStr">
        <s:is>
          <s:t>asset detail UI</s:t>
        </s:is>
      </s:c>
      <s:c r="Q52" s="14">
        <s:f>INDEX('01_ROADMAP'!$C$5:$C$15,MATCH(B52,'01_ROADMAP'!$A$5:$A$15,0))</s:f>
        <s:v>46300.0</s:v>
      </s:c>
      <s:c r="R52" s="14">
        <s:f>INDEX('01_ROADMAP'!$D$5:$D$15,MATCH(B52,'01_ROADMAP'!$A$5:$A$15,0))</s:f>
        <s:v>46313.0</s:v>
      </s:c>
      <s:c r="S52" s="29" t="inlineStr">
        <s:is>
          <s:t>docs/backlog-partial-progress-2026-09-08.json#S2-B03</s:t>
        </s:is>
      </s:c>
      <s:c r="T52" s="13" t="inlineStr">
        <s:is>
          <s:t>FRONTEND</s:t>
        </s:is>
      </s:c>
      <s:c r="U52" s="13" t="inlineStr">
        <s:is>
          <s:t>Gallery</s:t>
        </s:is>
      </s:c>
      <s:c r="V52" s="13" t="inlineStr">
        <s:is>
          <s:t>GA</s:t>
        </s:is>
      </s:c>
      <s:c r="W52" s="13" t="inlineStr">
        <s:is>
          <s:t>See companion DOCX; use Nuxt UI primitives and shared design system for user-facing tasks.</s:t>
        </s:is>
      </s:c>
      <s:c r="X52" s="13" t="inlineStr">
        <s:is>
          <s:t>Acceptance Criteria + Test Evidence + Release Gate</s:t>
        </s:is>
      </s:c>
      <s:c r="Y52" s="54" t="inlineStr">
        <s:is>
          <s:t>Pjesërisht</s:t>
        </s:is>
      </s:c>
      <s:c r="Z52" s="56" t="inlineStr">
        <s:is>
          <s:t>Asset-i ruan metadata dhe të drejtat; UI lejon tërheqjen e konfirmuar të të drejtave. Serveri anulon job-et pending, kthen postimet e papublikuara në draft, i bllokon nga ripërdorimi dhe ruan audit/approval history. Preview ruan raportin natyral të medias.</s:t>
        </s:is>
      </s:c>
      <s:c r="AA52" s="56" t="inlineStr">
        <s:is>
          <s:t>Mbeten variantet/crop processing, object storage production dhe suite më e gjerë metadata/delete/concurrency; publikimet tashmë in-flight kërkojnë reconciliation operacional.</s:t>
        </s:is>
      </s:c>
      <s:c r="AB52" s="56" t="inlineStr">
        <s:is>
          <s:t>Prova e kërkuar nga backlog-u: E2E metadata/delete tests
Kriteri për t'u verifikuar (nuk deklarohet i kaluar): Delete blocked/explained when publishable content depends on asset; metadata edits persist.
DA-11: Revoko të drejtat e asset-it në postim të planifikuar, verifiko bllokimin e publikimit; provo purge/resume dhe përjashtimet e dokumentuara të ruajtjes.
DA-16: Foto katrore/portrait/landscape në të dy kanalet: krahaso preview me dimensionet e asset-it të dërguar; golden render për composer kur zbatohet.
Pranimi kërkon edhe gate-et: RG-05. Asnjë gate nuk është shënuar Passed nga ky audit.</s:t>
        </s:is>
      </s:c>
      <s:c r="AC52" s="56" t="inlineStr">
        <s:is>
          <s:t>E2E optional-Meta provon tërheqjen e të drejtave; local validation e refuzon asset-in pas tërheqjes. 8/8 browser dhe 47/47 unit/integration kaluan.</s:t>
        </s:is>
      </s:c>
      <s:c r="AD52" s="56" t="inlineStr">
        <s:is>
          <s:t>apps/web/server/api/media/[id]/rights.post.ts
apps/web/app/components/MediaGallery.vue
apps/web/app/components/ChannelPostPreview.vue
apps/web/tests/e2e/optional-meta.spec.ts</s:t>
        </s:is>
      </s:c>
      <s:c r="AE52" s="42" t="inlineStr">
        <s:is>
          <s:t>Pjesërisht — kërkon zhvillim</s:t>
        </s:is>
      </s:c>
      <s:c r="AF52" s="42" t="inlineStr">
        <s:is>
          <s:t>Po</s:t>
        </s:is>
      </s:c>
      <s:c r="AG52" s="42" t="inlineStr">
        <s:is>
          <s:t>Po — përzier me punë të jashtme</s:t>
        </s:is>
      </s:c>
      <s:c r="AH52" s="42" t="inlineStr">
        <s:is>
          <s:t>Mbeten variantet/crop processing, object storage production dhe suite më e gjerë metadata/delete/concurrency; publikimet tashmë in-flight kërkojnë reconciliation operacional.</s:t>
        </s:is>
      </s:c>
      <s:c r="AI52" s="42" t="inlineStr">
        <s:is>
          <s:t>docs/backlog-code-handoff-2026-09-08.json#S2-B03</s:t>
        </s:is>
      </s:c>
      <s:c r="AJ52" s="42" t="inlineStr">
        <s:is>
          <s:t>Programmer B / review: Programmer A</s:t>
        </s:is>
      </s:c>
    </s:row>
    <s:row r="53" ht="155.1" customHeight="1" s="48">
      <s:c r="A53" s="17" t="inlineStr">
        <s:is>
          <s:t>S2-B04</s:t>
        </s:is>
      </s:c>
      <s:c r="B53" s="18" t="inlineStr">
        <s:is>
          <s:t>S2</s:t>
        </s:is>
      </s:c>
      <s:c r="C53" s="18" t="inlineStr">
        <s:is>
          <s:t>Brand Visuals</s:t>
        </s:is>
      </s:c>
      <s:c r="D53" s="12" t="inlineStr">
        <s:is>
          <s:t>Build visual identity editor</s:t>
        </s:is>
      </s:c>
      <s:c r="E53" s="13" t="inlineStr">
        <s:is>
          <s:t>Support logo selection/upload, brand colors, typography choices and layout preferences stored as brand visual identity.</s:t>
        </s:is>
      </s:c>
      <s:c r="F53" s="13" t="inlineStr">
        <s:is>
          <s:t>Invalid colors/assets rejected; preview updates; exact logo asset ID saved, not copied URL.</s:t>
        </s:is>
      </s:c>
      <s:c r="G53" s="18" t="inlineStr">
        <s:is>
          <s:t>S1-A06,S2-B02</s:t>
        </s:is>
      </s:c>
      <s:c r="H53" s="18" t="inlineStr">
        <s:is>
          <s:t>P0</s:t>
        </s:is>
      </s:c>
      <s:c r="I53" s="18" t="inlineStr">
        <s:is>
          <s:t>Programmer B</s:t>
        </s:is>
      </s:c>
      <s:c r="J53" s="18" t="inlineStr">
        <s:is>
          <s:t>Programmer A</s:t>
        </s:is>
      </s:c>
      <s:c r="K53" s="18" t="n">
        <s:v>8</s:v>
      </s:c>
      <s:c r="L53" s="28" t="inlineStr">
        <s:is>
          <s:t>In Progress</s:t>
        </s:is>
      </s:c>
      <s:c r="M53" s="13" t="inlineStr">
        <s:is>
          <s:t>Component/E2E visual settings</s:t>
        </s:is>
      </s:c>
      <s:c r="N53" s="18" t="inlineStr">
        <s:is>
          <s:t>RG-06</s:t>
        </s:is>
      </s:c>
      <s:c r="O53" s="13" t="inlineStr">
        <s:is>
          <s:t>Brand exactness inputs.</s:t>
        </s:is>
      </s:c>
      <s:c r="P53" s="18" t="inlineStr">
        <s:is>
          <s:t>visual identity UI</s:t>
        </s:is>
      </s:c>
      <s:c r="Q53" s="14">
        <s:f>INDEX('01_ROADMAP'!$C$5:$C$15,MATCH(B53,'01_ROADMAP'!$A$5:$A$15,0))</s:f>
        <s:v>46300.0</s:v>
      </s:c>
      <s:c r="R53" s="14">
        <s:f>INDEX('01_ROADMAP'!$D$5:$D$15,MATCH(B53,'01_ROADMAP'!$A$5:$A$15,0))</s:f>
        <s:v>46313.0</s:v>
      </s:c>
      <s:c r="S53" s="29" t="inlineStr">
        <s:is>
          <s:t>docs/backlog-deep-audit-2026-09-07.json#S2-B04</s:t>
        </s:is>
      </s:c>
      <s:c r="T53" s="13" t="inlineStr">
        <s:is>
          <s:t>BACKEND</s:t>
        </s:is>
      </s:c>
      <s:c r="U53" s="13" t="inlineStr">
        <s:is>
          <s:t>Brand</s:t>
        </s:is>
      </s:c>
      <s:c r="V53" s="13" t="inlineStr">
        <s:is>
          <s:t>GA</s:t>
        </s:is>
      </s:c>
      <s:c r="W53" s="13" t="inlineStr">
        <s:is>
          <s:t>See companion DOCX; use Nuxt UI primitives and shared design system for user-facing tasks.</s:t>
        </s:is>
      </s:c>
      <s:c r="X53" s="13" t="inlineStr">
        <s:is>
          <s:t>Acceptance Criteria + Test Evidence + Release Gate</s:t>
        </s:is>
      </s:c>
      <s:c r="Y53" s="54" t="inlineStr">
        <s:is>
          <s:t>Pjesërisht</s:t>
        </s:is>
      </s:c>
      <s:c r="Z53" s="55" t="inlineStr">
        <s:is>
          <s:t>Profili ruan një ngjyrë; platforma ka logo SVG transparente.</s:t>
        </s:is>
      </s:c>
      <s:c r="AA53" s="55" t="inlineStr">
        <s:is>
          <s:t>1. Logo e biznesit me asset ID, typografi/layout preferences dhe validation/preview e identitetit të plotë mungojnë. Logo e platformës nuk mbyll task-un e logos së klientit.</s:t>
        </s:is>
      </s:c>
      <s:c r="AB53" s="55" t="inlineStr">
        <s:is>
          <s:t>Prova e kërkuar nga backlog-u: Component/E2E visual settings
Kriteri për t'u verifikuar (nuk deklarohet i kaluar): Invalid colors/assets rejected; preview updates; exact logo asset ID saved, not copied URL.
Pranimi kërkon edhe gate-et: RG-06. Asnjë gate nuk është shënuar Passed nga ky audit.</s:t>
        </s:is>
      </s:c>
      <s:c r="AC53" s="55" t="inlineStr">
        <s:is>
          <s:t>U rishikuan kodi/artefaktet dhe u kërkua implementimi i kësaj detyre. Nuk ka provë të ekzekutuar specifike që mbyll të gjithë kriterin; kontrollet globale nuk e zëvendësojnë atë.</s:t>
        </s:is>
      </s:c>
      <s:c r="AD53" s="55" t="inlineStr">
        <s:is>
          <s:t>apps/web/shared/schemas/workspace.ts
apps/web/app/pages/app/[org]/[brand]/brand.vue
apps/web/app/components/BrandLogo.vue</s:t>
        </s:is>
      </s:c>
      <s:c r="AE53" s="42" t="inlineStr">
        <s:is>
          <s:t>Pjesërisht — kërkon zhvillim</s:t>
        </s:is>
      </s:c>
      <s:c r="AF53" s="42" t="inlineStr">
        <s:is>
          <s:t>Po</s:t>
        </s:is>
      </s:c>
      <s:c r="AG53" s="42" t="inlineStr">
        <s:is>
          <s:t>Po — përzier me punë të jashtme</s:t>
        </s:is>
      </s:c>
      <s:c r="AH53" s="42" t="inlineStr">
        <s:is>
          <s:t>Logo e biznesit me asset ID, typografi/layout preferences dhe validation/preview e identitetit të plotë mungojnë. Logo e platformës nuk mbyll task-un e logos së klientit.</s:t>
        </s:is>
      </s:c>
      <s:c r="AI53" s="42" t="inlineStr">
        <s:is>
          <s:t>docs/backlog-code-handoff-2026-09-08.json#S2-B04</s:t>
        </s:is>
      </s:c>
      <s:c r="AJ53" s="42" t="inlineStr">
        <s:is>
          <s:t>Programmer B / review: Programmer A</s:t>
        </s:is>
      </s:c>
    </s:row>
    <s:row r="54" ht="155.1" customHeight="1" s="48">
      <s:c r="A54" s="17" t="inlineStr">
        <s:is>
          <s:t>S2-B05</s:t>
        </s:is>
      </s:c>
      <s:c r="B54" s="18" t="inlineStr">
        <s:is>
          <s:t>S2</s:t>
        </s:is>
      </s:c>
      <s:c r="C54" s="18" t="inlineStr">
        <s:is>
          <s:t>Integrations UX</s:t>
        </s:is>
      </s:c>
      <s:c r="D54" s="12" t="inlineStr">
        <s:is>
          <s:t>Build Meta connect flow</s:t>
        </s:is>
      </s:c>
      <s:c r="E54" s="13" t="inlineStr">
        <s:is>
          <s:t>Create integrations page, connect CTA, OAuth return handling, loading/failure states and clear explanation of Professional account requirements.</s:t>
        </s:is>
      </s:c>
      <s:c r="F54" s="13" t="inlineStr">
        <s:is>
          <s:t>Connection result survives refresh; OAuth cancellation/rejection handled; no provider token reaches UI.</s:t>
        </s:is>
      </s:c>
      <s:c r="G54" s="18" t="inlineStr">
        <s:is>
          <s:t>S2-A05</s:t>
        </s:is>
      </s:c>
      <s:c r="H54" s="18" t="inlineStr">
        <s:is>
          <s:t>P0</s:t>
        </s:is>
      </s:c>
      <s:c r="I54" s="18" t="inlineStr">
        <s:is>
          <s:t>Programmer B</s:t>
        </s:is>
      </s:c>
      <s:c r="J54" s="18" t="inlineStr">
        <s:is>
          <s:t>Programmer A</s:t>
        </s:is>
      </s:c>
      <s:c r="K54" s="18" t="n">
        <s:v>9</s:v>
      </s:c>
      <s:c r="L54" s="28" t="inlineStr">
        <s:is>
          <s:t>In Progress</s:t>
        </s:is>
      </s:c>
      <s:c r="M54" s="13" t="inlineStr">
        <s:is>
          <s:t>E2E mocked OAuth + staging manual</s:t>
        </s:is>
      </s:c>
      <s:c r="N54" s="18" t="inlineStr">
        <s:is>
          <s:t>RG-04</s:t>
        </s:is>
      </s:c>
      <s:c r="O54" s="13" t="inlineStr">
        <s:is>
          <s:t>No token exposure.</s:t>
        </s:is>
      </s:c>
      <s:c r="P54" s="18" t="inlineStr">
        <s:is>
          <s:t>Meta connect UI</s:t>
        </s:is>
      </s:c>
      <s:c r="Q54" s="14">
        <s:f>INDEX('01_ROADMAP'!$C$5:$C$15,MATCH(B54,'01_ROADMAP'!$A$5:$A$15,0))</s:f>
        <s:v>46300.0</s:v>
      </s:c>
      <s:c r="R54" s="14">
        <s:f>INDEX('01_ROADMAP'!$D$5:$D$15,MATCH(B54,'01_ROADMAP'!$A$5:$A$15,0))</s:f>
        <s:v>46313.0</s:v>
      </s:c>
      <s:c r="S54" s="29" t="inlineStr">
        <s:is>
          <s:t>docs/backlog-deep-audit-2026-09-07.json#S2-B05</s:t>
        </s:is>
      </s:c>
      <s:c r="T54" s="13" t="inlineStr">
        <s:is>
          <s:t>FRONTEND</s:t>
        </s:is>
      </s:c>
      <s:c r="U54" s="13" t="inlineStr">
        <s:is>
          <s:t>Integrations</s:t>
        </s:is>
      </s:c>
      <s:c r="V54" s="13" t="inlineStr">
        <s:is>
          <s:t>GA</s:t>
        </s:is>
      </s:c>
      <s:c r="W54" s="13" t="inlineStr">
        <s:is>
          <s:t>See companion DOCX; use Nuxt UI primitives and shared design system for user-facing tasks.</s:t>
        </s:is>
      </s:c>
      <s:c r="X54" s="13" t="inlineStr">
        <s:is>
          <s:t>Acceptance Criteria + Test Evidence + Release Gate</s:t>
        </s:is>
      </s:c>
      <s:c r="Y54" s="54" t="inlineStr">
        <s:is>
          <s:t>Pjesërisht</s:t>
        </s:is>
      </s:c>
      <s:c r="Z54" s="56" t="inlineStr">
        <s:is>
          <s:t>SocialConnections ofron lidhje Meta, zgjedhje faqesh, scopes/capabilities dhe gjendje të vërteta pa sukses demonstrues.</s:t>
        </s:is>
      </s:c>
      <s:c r="AA54" s="56" t="inlineStr">
        <s:is>
          <s:t>1. Mungojnë prova mocked OAuth/cancellation/unsupported cases dhe staging me kredenciale reale Meta.</s:t>
        </s:is>
      </s:c>
      <s:c r="AB54" s="56" t="inlineStr">
        <s:is>
          <s:t>Prova e kërkuar nga backlog-u: E2E mocked OAuth + staging manual
Kriteri për t'u verifikuar (nuk deklarohet i kaluar): Connection result survives refresh; OAuth cancellation/rejection handled; no provider token reaches UI.
Pranimi kërkon edhe gate-et: RG-04. Asnjë gate nuk është shënuar Passed nga ky audit.</s:t>
        </s:is>
      </s:c>
      <s:c r="AC54" s="56" t="inlineStr">
        <s:is>
          <s:t>U rishikuan kodi/artefaktet dhe u kërkua implementimi i kësaj detyre. Nuk ka provë të ekzekutuar specifike që mbyll të gjithë kriterin; kontrollet globale nuk e zëvendësojnë atë.</s:t>
        </s:is>
      </s:c>
      <s:c r="AD54" s="56" t="inlineStr">
        <s:is>
          <s:t>apps/web/app/components/SocialConnections.vue
apps/web/server/api/meta/status.get.ts
apps/web/server/api/meta/select.post.ts</s:t>
        </s:is>
      </s:c>
      <s:c r="AE54" s="42" t="inlineStr">
        <s:is>
          <s:t>Pjesërisht — kërkon zhvillim</s:t>
        </s:is>
      </s:c>
      <s:c r="AF54" s="42" t="inlineStr">
        <s:is>
          <s:t>Po</s:t>
        </s:is>
      </s:c>
      <s:c r="AG54" s="42" t="inlineStr">
        <s:is>
          <s:t>Po — përzier me punë të jashtme</s:t>
        </s:is>
      </s:c>
      <s:c r="AH54" s="42" t="inlineStr">
        <s:is>
          <s:t>Mungojnë prova mocked OAuth/cancellation/unsupported cases dhe staging me kredenciale reale Meta.</s:t>
        </s:is>
      </s:c>
      <s:c r="AI54" s="42" t="inlineStr">
        <s:is>
          <s:t>docs/backlog-code-handoff-2026-09-08.json#S2-B05</s:t>
        </s:is>
      </s:c>
      <s:c r="AJ54" s="42" t="inlineStr">
        <s:is>
          <s:t>Programmer B / review: Programmer A</s:t>
        </s:is>
      </s:c>
    </s:row>
    <s:row r="55" ht="180" customHeight="1" s="48">
      <s:c r="A55" s="17" t="inlineStr">
        <s:is>
          <s:t>S2-B06</s:t>
        </s:is>
      </s:c>
      <s:c r="B55" s="18" t="inlineStr">
        <s:is>
          <s:t>S2</s:t>
        </s:is>
      </s:c>
      <s:c r="C55" s="18" t="inlineStr">
        <s:is>
          <s:t>Integrations UX</s:t>
        </s:is>
      </s:c>
      <s:c r="D55" s="12" t="inlineStr">
        <s:is>
          <s:t>Build account selection and capability health</s:t>
        </s:is>
      </s:c>
      <s:c r="E55" s="13" t="inlineStr">
        <s:is>
          <s:t>List discovered Facebook/Instagram accounts, allow assignment to brand and show capability badges/permission health.</s:t>
        </s:is>
      </s:c>
      <s:c r="F55" s="13" t="inlineStr">
        <s:is>
          <s:t>Unsupported/missing scope state actionable; assignment cannot cross organization.</s:t>
        </s:is>
      </s:c>
      <s:c r="G55" s="18" t="inlineStr">
        <s:is>
          <s:t>S2-A06,S2-B05</s:t>
        </s:is>
      </s:c>
      <s:c r="H55" s="18" t="inlineStr">
        <s:is>
          <s:t>P0</s:t>
        </s:is>
      </s:c>
      <s:c r="I55" s="18" t="inlineStr">
        <s:is>
          <s:t>Programmer B</s:t>
        </s:is>
      </s:c>
      <s:c r="J55" s="18" t="inlineStr">
        <s:is>
          <s:t>Programmer A</s:t>
        </s:is>
      </s:c>
      <s:c r="K55" s="18" t="n">
        <s:v>8</s:v>
      </s:c>
      <s:c r="L55" s="28" t="inlineStr">
        <s:is>
          <s:t>In Progress</s:t>
        </s:is>
      </s:c>
      <s:c r="M55" s="13" t="inlineStr">
        <s:is>
          <s:t>E2E capability cases</s:t>
        </s:is>
      </s:c>
      <s:c r="N55" s="18" t="inlineStr">
        <s:is>
          <s:t>RG-04</s:t>
        </s:is>
      </s:c>
      <s:c r="O55" s="13" t="inlineStr">
        <s:is>
          <s:t>Server validates assignment.</s:t>
        </s:is>
      </s:c>
      <s:c r="P55" s="18" t="inlineStr">
        <s:is>
          <s:t>social account selector</s:t>
        </s:is>
      </s:c>
      <s:c r="Q55" s="14">
        <s:f>INDEX('01_ROADMAP'!$C$5:$C$15,MATCH(B55,'01_ROADMAP'!$A$5:$A$15,0))</s:f>
        <s:v>46300.0</s:v>
      </s:c>
      <s:c r="R55" s="14">
        <s:f>INDEX('01_ROADMAP'!$D$5:$D$15,MATCH(B55,'01_ROADMAP'!$A$5:$A$15,0))</s:f>
        <s:v>46313.0</s:v>
      </s:c>
      <s:c r="S55" s="29" t="inlineStr">
        <s:is>
          <s:t>docs/backlog-partial-progress-2026-09-08.json#S2-B06</s:t>
        </s:is>
      </s:c>
      <s:c r="T55" s="13" t="inlineStr">
        <s:is>
          <s:t>FRONTEND</s:t>
        </s:is>
      </s:c>
      <s:c r="U55" s="13" t="inlineStr">
        <s:is>
          <s:t>Integrations</s:t>
        </s:is>
      </s:c>
      <s:c r="V55" s="13" t="inlineStr">
        <s:is>
          <s:t>GA</s:t>
        </s:is>
      </s:c>
      <s:c r="W55" s="13" t="inlineStr">
        <s:is>
          <s:t>See companion DOCX; use Nuxt UI primitives and shared design system for user-facing tasks.</s:t>
        </s:is>
      </s:c>
      <s:c r="X55" s="13" t="inlineStr">
        <s:is>
          <s:t>Acceptance Criteria + Test Evidence + Release Gate</s:t>
        </s:is>
      </s:c>
      <s:c r="Y55" s="54" t="inlineStr">
        <s:is>
          <s:t>Pjesërisht</s:t>
        </s:is>
      </s:c>
      <s:c r="Z55" s="55" t="inlineStr">
        <s:is>
          <s:t>Zgjedhja e faqes ruan target-in aktual dhe ndalon kalimin te faqe tjetër kur një rezultat uncertain i përket burimit të vjetër. Rilidhja lejohet vetëm me target-in origjinal.</s:t>
        </s:is>
      </s:c>
      <s:c r="AA55" s="55" t="inlineStr">
        <s:is>
          <s:t>Mbeten capability matrix për missing scopes/expired/revoked/unsupported, permission reauth dhe E2E me Meta staging.</s:t>
        </s:is>
      </s:c>
      <s:c r="AB55" s="55" t="inlineStr">
        <s:is>
          <s:t>Prova e kërkuar nga backlog-u: E2E capability cases
Kriteri për t'u verifikuar (nuk deklarohet i kaluar): Unsupported/missing scope state actionable; assignment cannot cross organization.
DA-05: Import nga faqja A, lidh faqen B, import i ri: lista dhe konteksti i B përmbajnë vetëm burimet e zgjedhura, me provenance të ruajtur.
Pranimi kërkon edhe gate-et: RG-04. Asnjë gate nuk është shënuar Passed nga ky audit.</s:t>
        </s:is>
      </s:c>
      <s:c r="AC55" s="55" t="inlineStr">
        <s:is>
          <s:t>Unit/integration provon target page/Instagram të njëjtë dhe refuzon target tjetër; prova live provider mungon.</s:t>
        </s:is>
      </s:c>
      <s:c r="AD55" s="55" t="inlineStr">
        <s:is>
          <s:t>apps/web/server/api/meta/select.post.ts
apps/web/server/api/meta/callback.get.ts
apps/web/server/utils/publishing.ts</s:t>
        </s:is>
      </s:c>
      <s:c r="AE55" s="42" t="inlineStr">
        <s:is>
          <s:t>Pjesërisht — kërkon zhvillim</s:t>
        </s:is>
      </s:c>
      <s:c r="AF55" s="42" t="inlineStr">
        <s:is>
          <s:t>Po</s:t>
        </s:is>
      </s:c>
      <s:c r="AG55" s="42" t="inlineStr">
        <s:is>
          <s:t>Po — përzier me punë të jashtme</s:t>
        </s:is>
      </s:c>
      <s:c r="AH55" s="42" t="inlineStr">
        <s:is>
          <s:t>Mbeten capability matrix për missing scopes/expired/revoked/unsupported, permission reauth dhe E2E me Meta staging.</s:t>
        </s:is>
      </s:c>
      <s:c r="AI55" s="42" t="inlineStr">
        <s:is>
          <s:t>docs/backlog-code-handoff-2026-09-08.json#S2-B06</s:t>
        </s:is>
      </s:c>
      <s:c r="AJ55" s="42" t="inlineStr">
        <s:is>
          <s:t>Programmer B / review: Programmer A</s:t>
        </s:is>
      </s:c>
    </s:row>
    <s:row r="56" ht="180" customHeight="1" s="48">
      <s:c r="A56" s="17" t="inlineStr">
        <s:is>
          <s:t>S2-B07</s:t>
        </s:is>
      </s:c>
      <s:c r="B56" s="18" t="inlineStr">
        <s:is>
          <s:t>S2</s:t>
        </s:is>
      </s:c>
      <s:c r="C56" s="18" t="inlineStr">
        <s:is>
          <s:t>Sync UX</s:t>
        </s:is>
      </s:c>
      <s:c r="D56" s="12" t="inlineStr">
        <s:is>
          <s:t>Build import/sync progress and history</s:t>
        </s:is>
      </s:c>
      <s:c r="E56" s="13" t="inlineStr">
        <s:is>
          <s:t>Display initial sync job progress, last sync, imported post count and retry/reconnect action by typed failure.</s:t>
        </s:is>
      </s:c>
      <s:c r="F56" s="13" t="inlineStr">
        <s:is>
          <s:t>Page remains usable during sync; retry disabled for terminal auth until reconnect; history refreshes.</s:t>
        </s:is>
      </s:c>
      <s:c r="G56" s="18" t="inlineStr">
        <s:is>
          <s:t>S2-A07,S1-B07</s:t>
        </s:is>
      </s:c>
      <s:c r="H56" s="18" t="inlineStr">
        <s:is>
          <s:t>P1</s:t>
        </s:is>
      </s:c>
      <s:c r="I56" s="18" t="inlineStr">
        <s:is>
          <s:t>Programmer B</s:t>
        </s:is>
      </s:c>
      <s:c r="J56" s="18" t="inlineStr">
        <s:is>
          <s:t>Programmer A</s:t>
        </s:is>
      </s:c>
      <s:c r="K56" s="18" t="n">
        <s:v>7</s:v>
      </s:c>
      <s:c r="L56" s="28" t="inlineStr">
        <s:is>
          <s:t>In Progress</s:t>
        </s:is>
      </s:c>
      <s:c r="M56" s="13" t="inlineStr">
        <s:is>
          <s:t>E2E sync state fixtures</s:t>
        </s:is>
      </s:c>
      <s:c r="N56" s="18" t="inlineStr">
        <s:is>
          <s:t>RG-04,RG-14</s:t>
        </s:is>
      </s:c>
      <s:c r="O56" s="13" t="inlineStr">
        <s:is>
          <s:t>Does not show raw provider payload.</s:t>
        </s:is>
      </s:c>
      <s:c r="P56" s="18" t="inlineStr">
        <s:is>
          <s:t>sync status UI</s:t>
        </s:is>
      </s:c>
      <s:c r="Q56" s="14">
        <s:f>INDEX('01_ROADMAP'!$C$5:$C$15,MATCH(B56,'01_ROADMAP'!$A$5:$A$15,0))</s:f>
        <s:v>46300.0</s:v>
      </s:c>
      <s:c r="R56" s="14">
        <s:f>INDEX('01_ROADMAP'!$D$5:$D$15,MATCH(B56,'01_ROADMAP'!$A$5:$A$15,0))</s:f>
        <s:v>46313.0</s:v>
      </s:c>
      <s:c r="S56" s="29" t="inlineStr">
        <s:is>
          <s:t>docs/backlog-partial-progress-2026-09-08.json#S2-B07</s:t>
        </s:is>
      </s:c>
      <s:c r="T56" s="13" t="inlineStr">
        <s:is>
          <s:t>FRONTEND</s:t>
        </s:is>
      </s:c>
      <s:c r="U56" s="13" t="inlineStr">
        <s:is>
          <s:t>Platform</s:t>
        </s:is>
      </s:c>
      <s:c r="V56" s="13" t="inlineStr">
        <s:is>
          <s:t>GA</s:t>
        </s:is>
      </s:c>
      <s:c r="W56" s="13" t="inlineStr">
        <s:is>
          <s:t>See companion DOCX; use Nuxt UI primitives and shared design system for user-facing tasks.</s:t>
        </s:is>
      </s:c>
      <s:c r="X56" s="13" t="inlineStr">
        <s:is>
          <s:t>Acceptance Criteria + Test Evidence + Release Gate</s:t>
        </s:is>
      </s:c>
      <s:c r="Y56" s="54" t="inlineStr">
        <s:is>
          <s:t>Pjesërisht</s:t>
        </s:is>
      </s:c>
      <s:c r="Z56" s="56" t="inlineStr">
        <s:is>
          <s:t>Historiku filtrohet sipas source account aktual dhe pastrohet gjatë ndërrimit të faqes; UI ruan pagination/search/last sync.</s:t>
        </s:is>
      </s:c>
      <s:c r="AA56" s="56" t="inlineStr">
        <s:is>
          <s:t>Mbeten job/progress/history durable, crash resume dhe terminal-auth/retry fixtures.</s:t>
        </s:is>
      </s:c>
      <s:c r="AB56" s="56" t="inlineStr">
        <s:is>
          <s:t>Prova e kërkuar nga backlog-u: E2E sync state fixtures
Kriteri për t'u verifikuar (nuk deklarohet i kaluar): Page remains usable during sync; retry disabled for terminal auth until reconnect; history refreshes.
DA-05: Import nga faqja A, lidh faqen B, import i ri: lista dhe konteksti i B përmbajnë vetëm burimet e zgjedhura, me provenance të ruajtur.
Pranimi kërkon edhe gate-et: RG-04,RG-14. Asnjë gate nuk është shënuar Passed nga ky audit.</s:t>
        </s:is>
      </s:c>
      <s:c r="AC56" s="56" t="inlineStr">
        <s:is>
          <s:t>DB integration për source isolation kaloi; nuk ka provider sync fault E2E.</s:t>
        </s:is>
      </s:c>
      <s:c r="AD56" s="56" t="inlineStr">
        <s:is>
          <s:t>apps/web/server/api/meta/posts.get.ts
apps/web/server/api/meta/sync.post.ts
apps/web/database/migrations/0008_provider_reliability.sql</s:t>
        </s:is>
      </s:c>
      <s:c r="AE56" s="42" t="inlineStr">
        <s:is>
          <s:t>Pjesërisht — kërkon zhvillim</s:t>
        </s:is>
      </s:c>
      <s:c r="AF56" s="42" t="inlineStr">
        <s:is>
          <s:t>Po</s:t>
        </s:is>
      </s:c>
      <s:c r="AG56" s="42" t="inlineStr">
        <s:is>
          <s:t>Po, pas implementimit</s:t>
        </s:is>
      </s:c>
      <s:c r="AH56" s="42" t="inlineStr">
        <s:is>
          <s:t>Mbeten job/progress/history durable, crash resume dhe terminal-auth/retry fixtures.</s:t>
        </s:is>
      </s:c>
      <s:c r="AI56" s="42" t="inlineStr">
        <s:is>
          <s:t>docs/backlog-code-handoff-2026-09-08.json#S2-B07</s:t>
        </s:is>
      </s:c>
      <s:c r="AJ56" s="42" t="inlineStr">
        <s:is>
          <s:t>Programmer B / review: Programmer A</s:t>
        </s:is>
      </s:c>
    </s:row>
    <s:row r="57" ht="159" customHeight="1" s="48">
      <s:c r="A57" s="17" t="inlineStr">
        <s:is>
          <s:t>S2-B08</s:t>
        </s:is>
      </s:c>
      <s:c r="B57" s="18" t="inlineStr">
        <s:is>
          <s:t>S2</s:t>
        </s:is>
      </s:c>
      <s:c r="C57" s="18" t="inlineStr">
        <s:is>
          <s:t>Integrations UX</s:t>
        </s:is>
      </s:c>
      <s:c r="D57" s="12" t="inlineStr">
        <s:is>
          <s:t>Build reconnect/disconnect workflow</s:t>
        </s:is>
      </s:c>
      <s:c r="E57" s="13" t="inlineStr">
        <s:is>
          <s:t>Confirm Meta disconnect/reconnect and describe its consequences. Disconnect cancels pending automatic publications and preserves their dates as manual calendar entries. Keep uncertain publications visible and blocked for verification; retain local content validation.</s:t>
        </s:is>
      </s:c>
      <s:c r="F57" s="13" t="inlineStr">
        <s:is>
          <s:t>Disconnect is owner-authorized and cannot interrupt a processing publication. Manual calendar entries and approvals remain available without Meta. Pending automatic work is cancelled; uncertain outcomes are not silently retried or represented as unsent. Reconnect never enables automatic publication for manual entries. Real revoke/reconnect scenarios are tested.</s:t>
        </s:is>
      </s:c>
      <s:c r="G57" s="18" t="inlineStr">
        <s:is>
          <s:t>S2-A05,S2-B06</s:t>
        </s:is>
      </s:c>
      <s:c r="H57" s="18" t="inlineStr">
        <s:is>
          <s:t>P0</s:t>
        </s:is>
      </s:c>
      <s:c r="I57" s="18" t="inlineStr">
        <s:is>
          <s:t>Programmer B</s:t>
        </s:is>
      </s:c>
      <s:c r="J57" s="18" t="inlineStr">
        <s:is>
          <s:t>Programmer A</s:t>
        </s:is>
      </s:c>
      <s:c r="K57" s="18" t="n">
        <s:v>7</s:v>
      </s:c>
      <s:c r="L57" s="28" t="inlineStr">
        <s:is>
          <s:t>In Progress</s:t>
        </s:is>
      </s:c>
      <s:c r="M57" s="13" t="inlineStr">
        <s:is>
          <s:t>E2E revoke/reconnect</s:t>
        </s:is>
      </s:c>
      <s:c r="N57" s="18" t="inlineStr">
        <s:is>
          <s:t>RG-04</s:t>
        </s:is>
      </s:c>
      <s:c r="O57" s="13" t="inlineStr">
        <s:is>
          <s:t>Sensitive integration action audited.</s:t>
        </s:is>
      </s:c>
      <s:c r="P57" s="18" t="inlineStr">
        <s:is>
          <s:t>connection health UX</s:t>
        </s:is>
      </s:c>
      <s:c r="Q57" s="14">
        <s:f>INDEX('01_ROADMAP'!$C$5:$C$15,MATCH(B57,'01_ROADMAP'!$A$5:$A$15,0))</s:f>
        <s:v>46300.0</s:v>
      </s:c>
      <s:c r="R57" s="14">
        <s:f>INDEX('01_ROADMAP'!$D$5:$D$15,MATCH(B57,'01_ROADMAP'!$A$5:$A$15,0))</s:f>
        <s:v>46313.0</s:v>
      </s:c>
      <s:c r="S57" s="29" t="inlineStr">
        <s:is>
          <s:t>docs/backlog-deep-audit-2026-09-07.json#S2-B08</s:t>
        </s:is>
      </s:c>
      <s:c r="T57" s="13" t="inlineStr">
        <s:is>
          <s:t>FRONTEND</s:t>
        </s:is>
      </s:c>
      <s:c r="U57" s="13" t="inlineStr">
        <s:is>
          <s:t>Integrations</s:t>
        </s:is>
      </s:c>
      <s:c r="V57" s="13" t="inlineStr">
        <s:is>
          <s:t>GA</s:t>
        </s:is>
      </s:c>
      <s:c r="W57" s="13" t="inlineStr">
        <s:is>
          <s:t>See companion DOCX; use Nuxt UI primitives and shared design system for user-facing tasks.</s:t>
        </s:is>
      </s:c>
      <s:c r="X57" s="13" t="inlineStr">
        <s:is>
          <s:t>Acceptance Criteria + Test Evidence + Release Gate</s:t>
        </s:is>
      </s:c>
      <s:c r="Y57" s="54" t="inlineStr">
        <s:is>
          <s:t>Pjesërisht</s:t>
        </s:is>
      </s:c>
      <s:c r="Z57" s="55" t="inlineStr">
        <s:is>
          <s:t>Disconnect anulon punët pending dhe ruan oraret manuale; uncertain mbetet i bllokuar për verifikim. Local E2E konfirmon ruajtjen e kalendarit.</s:t>
        </s:is>
      </s:c>
      <s:c r="AA57" s="55" t="inlineStr">
        <s:is>
          <s:t>1. Mbeten real revoke/reconnect dhe test me punë automatike aktive. Kriteri është përshtatur: Meta opsionale, kalendari nuk fshihet.
2. DA-04: Përfundo zgjidhjen e rezultatit me prova nga provider-i dhe një rrugë të audituar rikuperimi/rilidhjeje që nuk ridërgon verbërisht postimin.</s:t>
        </s:is>
      </s:c>
      <s:c r="AB57" s="55" t="inlineStr">
        <s:is>
          <s:t>Prova e kërkuar nga backlog-u: E2E revoke/reconnect
Kriteri për t'u verifikuar (nuk deklarohet i kaluar): Disconnect is owner-authorized and cannot interrupt a processing publication. Manual calendar entries and approvals remain available without Meta. Pending automatic work is cancelled; uncertain outcomes are not silently retried or represented as unsent. Reconnect never enables automatic publication for manual entries. Real revoke/reconnect scenarios are tested.
DA-04: Timeout pas efektit të jashtëm → uncertain → disconnect → verifikim rezultati → reconnect; ruaj identitetin e target-it dhe mos dyfisho.
Pranimi kërkon edhe gate-et: RG-04. Asnjë gate nuk është shënuar Passed nga ky audit.</s:t>
        </s:is>
      </s:c>
      <s:c r="AC57" s="55" t="inlineStr">
        <s:is>
          <s:t>U rishikuan kodi/artefaktet dhe u kërkua implementimi i kësaj detyre. Nuk ka provë të ekzekutuar specifike që mbyll të gjithë kriterin; kontrollet globale nuk e zëvendësojnë atë.</s:t>
        </s:is>
      </s:c>
      <s:c r="AD57" s="55" t="inlineStr">
        <s:is>
          <s:t>apps/web/app/components/SocialConnections.vue
apps/web/server/api/meta/disconnect.post.ts
apps/web/tests/e2e/optional-meta.spec.ts
apps/web/server/api/meta/disconnect.post.ts:26
apps/web/server/api/meta/callback.get.ts:38
apps/web/server/api/meta/select.post.ts:50
DA-04: Disconnect ruan punën uncertain por fshin lidhjen. Callback/select refuzojnë lidhje kur ekziston uncertain. Mungon reconciler/API operative që ta zgjidhë gjendjen.</s:t>
        </s:is>
      </s:c>
      <s:c r="AE57" s="42" t="inlineStr">
        <s:is>
          <s:t>Pjesërisht — kërkon zhvillim</s:t>
        </s:is>
      </s:c>
      <s:c r="AF57" s="42" t="inlineStr">
        <s:is>
          <s:t>Po</s:t>
        </s:is>
      </s:c>
      <s:c r="AG57" s="42" t="inlineStr">
        <s:is>
          <s:t>Po — përzier me punë të jashtme</s:t>
        </s:is>
      </s:c>
      <s:c r="AH57" s="42" t="inlineStr">
        <s:is>
          <s:t>Mbeten real revoke/reconnect dhe test me punë automatike aktive. Kriteri është përshtatur: Meta opsionale, kalendari nuk fshihet. 2.</s:t>
        </s:is>
      </s:c>
      <s:c r="AI57" s="42" t="inlineStr">
        <s:is>
          <s:t>docs/backlog-code-handoff-2026-09-08.json#S2-B08</s:t>
        </s:is>
      </s:c>
      <s:c r="AJ57" s="42" t="inlineStr">
        <s:is>
          <s:t>Programmer B / review: Programmer A</s:t>
        </s:is>
      </s:c>
    </s:row>
    <s:row r="58" ht="155.1" customHeight="1" s="48">
      <s:c r="A58" s="17" t="inlineStr">
        <s:is>
          <s:t>S2-B09</s:t>
        </s:is>
      </s:c>
      <s:c r="B58" s="18" t="inlineStr">
        <s:is>
          <s:t>S2</s:t>
        </s:is>
      </s:c>
      <s:c r="C58" s="18" t="inlineStr">
        <s:is>
          <s:t>Media UX</s:t>
        </s:is>
      </s:c>
      <s:c r="D58" s="12" t="inlineStr">
        <s:is>
          <s:t>Run gallery/integration mobile and a11y pass</s:t>
        </s:is>
      </s:c>
      <s:c r="E58" s="13" t="inlineStr">
        <s:is>
          <s:t>Optimize gallery selection, upload, OAuth return and account selection on small screens/keyboard.</s:t>
        </s:is>
      </s:c>
      <s:c r="F58" s="13" t="inlineStr">
        <s:is>
          <s:t>No critical a11y issue; upload/control hit targets usable; images lazy-load with dimensions.</s:t>
        </s:is>
      </s:c>
      <s:c r="G58" s="18" t="inlineStr">
        <s:is>
          <s:t>S2-B01,S2-B05,S2-B06</s:t>
        </s:is>
      </s:c>
      <s:c r="H58" s="18" t="inlineStr">
        <s:is>
          <s:t>P1</s:t>
        </s:is>
      </s:c>
      <s:c r="I58" s="18" t="inlineStr">
        <s:is>
          <s:t>Programmer B</s:t>
        </s:is>
      </s:c>
      <s:c r="J58" s="18" t="inlineStr">
        <s:is>
          <s:t>Programmer A</s:t>
        </s:is>
      </s:c>
      <s:c r="K58" s="18" t="n">
        <s:v>5</s:v>
      </s:c>
      <s:c r="L58" s="28" t="inlineStr">
        <s:is>
          <s:t>In Progress</s:t>
        </s:is>
      </s:c>
      <s:c r="M58" s="13" t="inlineStr">
        <s:is>
          <s:t>axe + mobile Playwright</s:t>
        </s:is>
      </s:c>
      <s:c r="N58" s="18" t="inlineStr">
        <s:is>
          <s:t>RG-14</s:t>
        </s:is>
      </s:c>
      <s:c r="O58" s="13" t="inlineStr">
        <s:is>
          <s:t>Avoid leaking asset URLs in page source beyond signed use.</s:t>
        </s:is>
      </s:c>
      <s:c r="P58" s="18" t="inlineStr">
        <s:is>
          <s:t>S2 UX polish</s:t>
        </s:is>
      </s:c>
      <s:c r="Q58" s="14">
        <s:f>INDEX('01_ROADMAP'!$C$5:$C$15,MATCH(B58,'01_ROADMAP'!$A$5:$A$15,0))</s:f>
        <s:v>46300.0</s:v>
      </s:c>
      <s:c r="R58" s="14">
        <s:f>INDEX('01_ROADMAP'!$D$5:$D$15,MATCH(B58,'01_ROADMAP'!$A$5:$A$15,0))</s:f>
        <s:v>46313.0</s:v>
      </s:c>
      <s:c r="S58" s="29" t="inlineStr">
        <s:is>
          <s:t>docs/backlog-deep-audit-2026-09-07.json#S2-B09</s:t>
        </s:is>
      </s:c>
      <s:c r="T58" s="13" t="inlineStr">
        <s:is>
          <s:t>FRONTEND</s:t>
        </s:is>
      </s:c>
      <s:c r="U58" s="13" t="inlineStr">
        <s:is>
          <s:t>Gallery</s:t>
        </s:is>
      </s:c>
      <s:c r="V58" s="13" t="inlineStr">
        <s:is>
          <s:t>GA</s:t>
        </s:is>
      </s:c>
      <s:c r="W58" s="13" t="inlineStr">
        <s:is>
          <s:t>See companion DOCX; use Nuxt UI primitives and shared design system for user-facing tasks.</s:t>
        </s:is>
      </s:c>
      <s:c r="X58" s="13" t="inlineStr">
        <s:is>
          <s:t>Acceptance Criteria + Test Evidence + Release Gate</s:t>
        </s:is>
      </s:c>
      <s:c r="Y58" s="54" t="inlineStr">
        <s:is>
          <s:t>Pjesërisht</s:t>
        </s:is>
      </s:c>
      <s:c r="Z58" s="56" t="inlineStr">
        <s:is>
          <s:t>Nuxt UI primitives, labels/focus dhe reduced-motion ekzistojnë; axe është në testet live dhe provat e fundit mbulojnë desktop/mobile pa overflow.</s:t>
        </s:is>
      </s:c>
      <s:c r="AA58" s="56" t="inlineStr">
        <s:is>
          <s:t>1. Provo me keyboard/focus dhe 360px modale upload, zgjedhje faqesh, cursor, detaje fotografie dhe reconnect; axe për listat ka kaluar lokalisht, OAuth real/mobile mbetet i hapur.</s:t>
        </s:is>
      </s:c>
      <s:c r="AB58" s="56" t="inlineStr">
        <s:is>
          <s:t>Prova e kërkuar nga backlog-u: axe + mobile Playwright
Kriteri për t'u verifikuar (nuk deklarohet i kaluar): No critical a11y issue; upload/control hit targets usable; images lazy-load with dimensions.
Pranimi kërkon edhe gate-et: RG-14. Asnjë gate nuk është shënuar Passed nga ky audit.</s:t>
        </s:is>
      </s:c>
      <s:c r="AC58" s="56"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58" s="56" t="inlineStr">
        <s:is>
          <s:t>apps/web/tests/e2e/live.spec.ts
apps/web/app/assets/css/main.css
docs/VALIDATION.md
hq-optional-e2e.log</s:t>
        </s:is>
      </s:c>
      <s:c r="AE58" s="42" t="inlineStr">
        <s:is>
          <s:t>Pjesërisht — kërkon zhvillim</s:t>
        </s:is>
      </s:c>
      <s:c r="AF58" s="42" t="inlineStr">
        <s:is>
          <s:t>Po</s:t>
        </s:is>
      </s:c>
      <s:c r="AG58" s="42" t="inlineStr">
        <s:is>
          <s:t>Po, pas implementimit</s:t>
        </s:is>
      </s:c>
      <s:c r="AH58" s="42" t="inlineStr">
        <s:is>
          <s:t>Provo me keyboard/focus dhe 360px modale upload, zgjedhje faqesh, cursor, detaje fotografie dhe reconnect; axe për listat ka kaluar lokalisht, OAuth real/mobile mbetet i hapur.</s:t>
        </s:is>
      </s:c>
      <s:c r="AI58" s="42" t="inlineStr">
        <s:is>
          <s:t>docs/backlog-code-handoff-2026-09-08.json#S2-B09</s:t>
        </s:is>
      </s:c>
      <s:c r="AJ58" s="42" t="inlineStr">
        <s:is>
          <s:t>Programmer B / review: Programmer A</s:t>
        </s:is>
      </s:c>
    </s:row>
    <s:row r="59" ht="155.1" customHeight="1" s="48">
      <s:c r="A59" s="17" t="inlineStr">
        <s:is>
          <s:t>S3-A01</s:t>
        </s:is>
      </s:c>
      <s:c r="B59" s="18" t="inlineStr">
        <s:is>
          <s:t>S3</s:t>
        </s:is>
      </s:c>
      <s:c r="C59" s="18" t="inlineStr">
        <s:is>
          <s:t>AI Platform</s:t>
        </s:is>
      </s:c>
      <s:c r="D59" s="12" t="inlineStr">
        <s:is>
          <s:t>Implement AI provider gateway and capability routing</s:t>
        </s:is>
      </s:c>
      <s:c r="E59" s="13" t="inlineStr">
        <s:is>
          <s:t>Create AiTextGenerator/AiImageGenerator ports, OpenAI adapter, capability routes, timeouts/retries and provider-neutral usage result.</s:t>
        </s:is>
      </s:c>
      <s:c r="F59" s="13" t="inlineStr">
        <s:is>
          <s:t>Application code requests capability not model name; route config can change without domain change; provider errors normalized.</s:t>
        </s:is>
      </s:c>
      <s:c r="G59" s="18" t="inlineStr">
        <s:is>
          <s:t>S0-A02,S1-A07</s:t>
        </s:is>
      </s:c>
      <s:c r="H59" s="18" t="inlineStr">
        <s:is>
          <s:t>P0</s:t>
        </s:is>
      </s:c>
      <s:c r="I59" s="18" t="inlineStr">
        <s:is>
          <s:t>Programmer A</s:t>
        </s:is>
      </s:c>
      <s:c r="J59" s="18" t="inlineStr">
        <s:is>
          <s:t>Programmer B</s:t>
        </s:is>
      </s:c>
      <s:c r="K59" s="18" t="n">
        <s:v>8</s:v>
      </s:c>
      <s:c r="L59" s="28" t="inlineStr">
        <s:is>
          <s:t>In Progress</s:t>
        </s:is>
      </s:c>
      <s:c r="M59" s="13" t="inlineStr">
        <s:is>
          <s:t>Adapter contract + timeout tests</s:t>
        </s:is>
      </s:c>
      <s:c r="N59" s="18" t="inlineStr">
        <s:is>
          <s:t>RG-06</s:t>
        </s:is>
      </s:c>
      <s:c r="O59" s="13" t="inlineStr">
        <s:is>
          <s:t>No secrets/prompts in default logs.</s:t>
        </s:is>
      </s:c>
      <s:c r="P59" s="18" t="inlineStr">
        <s:is>
          <s:t>AI gateway/model routes</s:t>
        </s:is>
      </s:c>
      <s:c r="Q59" s="14">
        <s:f>INDEX('01_ROADMAP'!$C$5:$C$15,MATCH(B59,'01_ROADMAP'!$A$5:$A$15,0))</s:f>
        <s:v>46314.0</s:v>
      </s:c>
      <s:c r="R59" s="14">
        <s:f>INDEX('01_ROADMAP'!$D$5:$D$15,MATCH(B59,'01_ROADMAP'!$A$5:$A$15,0))</s:f>
        <s:v>46327.0</s:v>
      </s:c>
      <s:c r="S59" s="29" t="inlineStr">
        <s:is>
          <s:t>docs/backlog-deep-audit-2026-09-07.json#S3-A01</s:t>
        </s:is>
      </s:c>
      <s:c r="T59" s="13" t="inlineStr">
        <s:is>
          <s:t>AI</s:t>
        </s:is>
      </s:c>
      <s:c r="U59" s="13" t="inlineStr">
        <s:is>
          <s:t>AI Platform</s:t>
        </s:is>
      </s:c>
      <s:c r="V59" s="13" t="inlineStr">
        <s:is>
          <s:t>GA</s:t>
        </s:is>
      </s:c>
      <s:c r="W59" s="13" t="inlineStr">
        <s:is>
          <s:t>N/A / API-domain contract consumed by frontend where applicable.</s:t>
        </s:is>
      </s:c>
      <s:c r="X59" s="13" t="inlineStr">
        <s:is>
          <s:t>Acceptance Criteria + Test Evidence + Release Gate</s:t>
        </s:is>
      </s:c>
      <s:c r="Y59" s="54" t="inlineStr">
        <s:is>
          <s:t>Pjesërisht</s:t>
        </s:is>
      </s:c>
      <s:c r="Z59" s="55" t="inlineStr">
        <s:is>
          <s:t>Endpoint captions thërret realisht OpenAI Responses me model nga env, timeout dhe error të sigurt.</s:t>
        </s:is>
      </s:c>
      <s:c r="AA59" s="55" t="inlineStr">
        <s:is>
          <s:t>1. Nuk ka capability gateway/provider-neutral ports/image adapter apo routing/retry contract tests. OPENAI_API_KEY/OPENAI_MODEL mungojnë, ndaj gjenerimi live nuk është verifikuar.</s:t>
        </s:is>
      </s:c>
      <s:c r="AB59" s="55" t="inlineStr">
        <s:is>
          <s:t>Prova e kërkuar nga backlog-u: Adapter contract + timeout tests
Kriteri për t'u verifikuar (nuk deklarohet i kaluar): Application code requests capability not model name; route config can change without domain change; provider errors normalized.
Pranimi kërkon edhe gate-et: RG-06. Asnjë gate nuk është shënuar Passed nga ky audit.</s:t>
        </s:is>
      </s:c>
      <s:c r="AC59" s="55" t="inlineStr">
        <s:is>
          <s:t>U rishikuan kodi/artefaktet dhe u kërkua implementimi i kësaj detyre. Nuk ka provë të ekzekutuar specifike që mbyll të gjithë kriterin; kontrollet globale nuk e zëvendësojnë atë.</s:t>
        </s:is>
      </s:c>
      <s:c r="AD59" s="55" t="inlineStr">
        <s:is>
          <s:t>apps/web/server/api/ai/captions.post.ts</s:t>
        </s:is>
      </s:c>
      <s:c r="AE59" s="42" t="inlineStr">
        <s:is>
          <s:t>Pjesërisht — kërkon zhvillim</s:t>
        </s:is>
      </s:c>
      <s:c r="AF59" s="42" t="inlineStr">
        <s:is>
          <s:t>Po</s:t>
        </s:is>
      </s:c>
      <s:c r="AG59" s="42" t="inlineStr">
        <s:is>
          <s:t>Po — përzier me punë të jashtme</s:t>
        </s:is>
      </s:c>
      <s:c r="AH59" s="42" t="inlineStr">
        <s:is>
          <s:t>Nuk ka capability gateway/provider-neutral ports/image adapter apo routing/retry contract tests. OPENAI_API_KEY/OPENAI_MODEL mungojnë, ndaj gjenerimi live nuk është verifikuar.</s:t>
        </s:is>
      </s:c>
      <s:c r="AI59" s="42" t="inlineStr">
        <s:is>
          <s:t>docs/backlog-code-handoff-2026-09-08.json#S3-A01</s:t>
        </s:is>
      </s:c>
      <s:c r="AJ59" s="42" t="inlineStr">
        <s:is>
          <s:t>Programmer A / review: Programmer B</s:t>
        </s:is>
      </s:c>
    </s:row>
    <s:row r="60" ht="155.1" customHeight="1" s="48">
      <s:c r="A60" s="17" t="inlineStr">
        <s:is>
          <s:t>S3-A02</s:t>
        </s:is>
      </s:c>
      <s:c r="B60" s="18" t="inlineStr">
        <s:is>
          <s:t>S3</s:t>
        </s:is>
      </s:c>
      <s:c r="C60" s="18" t="inlineStr">
        <s:is>
          <s:t>AI Governance</s:t>
        </s:is>
      </s:c>
      <s:c r="D60" s="12" t="inlineStr">
        <s:is>
          <s:t>Implement prompt registry and immutable versions</s:t>
        </s:is>
      </s:c>
      <s:c r="E60" s="13" t="inlineStr">
        <s:is>
          <s:t>Create prompt_versions store, schema/version/hash fields, active promotion rules and code loader/cache.</s:t>
        </s:is>
      </s:c>
      <s:c r="F60" s="13" t="inlineStr">
        <s:is>
          <s:t>Existing content run references immutable prompt version; active version change audited; duplicate hash/version handled.</s:t>
        </s:is>
      </s:c>
      <s:c r="G60" s="18" t="inlineStr">
        <s:is>
          <s:t>S3-A01,S1-A08</s:t>
        </s:is>
      </s:c>
      <s:c r="H60" s="18" t="inlineStr">
        <s:is>
          <s:t>P0</s:t>
        </s:is>
      </s:c>
      <s:c r="I60" s="18" t="inlineStr">
        <s:is>
          <s:t>Programmer A</s:t>
        </s:is>
      </s:c>
      <s:c r="J60" s="18" t="inlineStr">
        <s:is>
          <s:t>Programmer B</s:t>
        </s:is>
      </s:c>
      <s:c r="K60" s="18" t="n">
        <s:v>7</s:v>
      </s:c>
      <s:c r="L60" s="30" t="inlineStr">
        <s:is>
          <s:t>Not Started</s:t>
        </s:is>
      </s:c>
      <s:c r="M60" s="13" t="inlineStr">
        <s:is>
          <s:t>Prompt lifecycle tests</s:t>
        </s:is>
      </s:c>
      <s:c r="N60" s="18" t="inlineStr">
        <s:is>
          <s:t>RG-06</s:t>
        </s:is>
      </s:c>
      <s:c r="O60" s="13" t="inlineStr">
        <s:is>
          <s:t>Prompt changes traceable.</s:t>
        </s:is>
      </s:c>
      <s:c r="P60" s="18" t="inlineStr">
        <s:is>
          <s:t>prompt registry</s:t>
        </s:is>
      </s:c>
      <s:c r="Q60" s="14">
        <s:f>INDEX('01_ROADMAP'!$C$5:$C$15,MATCH(B60,'01_ROADMAP'!$A$5:$A$15,0))</s:f>
        <s:v>46314.0</s:v>
      </s:c>
      <s:c r="R60" s="14">
        <s:f>INDEX('01_ROADMAP'!$D$5:$D$15,MATCH(B60,'01_ROADMAP'!$A$5:$A$15,0))</s:f>
        <s:v>46327.0</s:v>
      </s:c>
      <s:c r="S60" s="29" t="inlineStr">
        <s:is>
          <s:t>docs/backlog-deep-audit-2026-09-07.json#S3-A02</s:t>
        </s:is>
      </s:c>
      <s:c r="T60" s="13" t="inlineStr">
        <s:is>
          <s:t>AI</s:t>
        </s:is>
      </s:c>
      <s:c r="U60" s="13" t="inlineStr">
        <s:is>
          <s:t>AI Platform</s:t>
        </s:is>
      </s:c>
      <s:c r="V60" s="13" t="inlineStr">
        <s:is>
          <s:t>GA</s:t>
        </s:is>
      </s:c>
      <s:c r="W60" s="13" t="inlineStr">
        <s:is>
          <s:t>N/A / API-domain contract consumed by frontend where applicable.</s:t>
        </s:is>
      </s:c>
      <s:c r="X60" s="13" t="inlineStr">
        <s:is>
          <s:t>Acceptance Criteria + Test Evidence + Release Gate</s:t>
        </s:is>
      </s:c>
      <s:c r="Y60" s="57" t="inlineStr">
        <s:is>
          <s:t>Pa filluar</s:t>
        </s:is>
      </s:c>
      <s:c r="Z60" s="56" t="inlineStr">
        <s:is>
          <s:t>Prompt-i i captions është tekst në endpoint; nuk ka prompt_versions store.</s:t>
        </s:is>
      </s:c>
      <s:c r="AA60" s="56" t="inlineStr">
        <s:is>
          <s:t>1. Duhet registry immutable, hash/schema/version, promotion/audit dhe lifecycle tests.</s:t>
        </s:is>
      </s:c>
      <s:c r="AB60" s="56" t="inlineStr">
        <s:is>
          <s:t>Prova e kërkuar nga backlog-u: Prompt lifecycle tests
Kriteri për t'u verifikuar (nuk deklarohet i kaluar): Existing content run references immutable prompt version; active version change audited; duplicate hash/version handled.
Pranimi kërkon edhe gate-et: RG-06. Asnjë gate nuk është shënuar Passed nga ky audit.</s:t>
        </s:is>
      </s:c>
      <s:c r="AC60" s="56" t="inlineStr">
        <s:is>
          <s:t>U rishikuan kodi/artefaktet dhe u kërkua implementimi i kësaj detyre. Nuk ka provë të ekzekutuar specifike që mbyll të gjithë kriterin; kontrollet globale nuk e zëvendësojnë atë.</s:t>
        </s:is>
      </s:c>
      <s:c r="AD60" s="56" t="inlineStr">
        <s:is>
          <s:t>apps/web/server/api/ai/captions.post.ts</s:t>
        </s:is>
      </s:c>
      <s:c r="AE60" s="42" t="inlineStr">
        <s:is>
          <s:t>Pa filluar</s:t>
        </s:is>
      </s:c>
      <s:c r="AF60" s="42" t="inlineStr">
        <s:is>
          <s:t>Po</s:t>
        </s:is>
      </s:c>
      <s:c r="AG60" s="42" t="inlineStr">
        <s:is>
          <s:t>Po, pas implementimit</s:t>
        </s:is>
      </s:c>
      <s:c r="AH60" s="42" t="inlineStr">
        <s:is>
          <s:t>Duhet registry immutable, hash/schema/version, promotion/audit dhe lifecycle tests.</s:t>
        </s:is>
      </s:c>
      <s:c r="AI60" s="42" t="inlineStr">
        <s:is>
          <s:t>docs/backlog-code-handoff-2026-09-08.json#S3-A02</s:t>
        </s:is>
      </s:c>
      <s:c r="AJ60" s="42" t="inlineStr">
        <s:is>
          <s:t>Programmer A / review: Programmer B</s:t>
        </s:is>
      </s:c>
    </s:row>
    <s:row r="61" ht="155.1" customHeight="1" s="48">
      <s:c r="A61" s="17" t="inlineStr">
        <s:is>
          <s:t>S3-A03</s:t>
        </s:is>
      </s:c>
      <s:c r="B61" s="18" t="inlineStr">
        <s:is>
          <s:t>S3</s:t>
        </s:is>
      </s:c>
      <s:c r="C61" s="18" t="inlineStr">
        <s:is>
          <s:t>AI Contracts</s:t>
        </s:is>
      </s:c>
      <s:c r="D61" s="12" t="inlineStr">
        <s:is>
          <s:t>Define strict structured output schemas</s:t>
        </s:is>
      </s:c>
      <s:c r="E61" s="13" t="inlineStr">
        <s:is>
          <s:t>Create Pydantic/JSON Schema contracts for brain inference, strategy, captions, creative brief and QA results with bounded repair policy.</s:t>
        </s:is>
      </s:c>
      <s:c r="F61" s="13" t="inlineStr">
        <s:is>
          <s:t>Malformed/extra/missing critical fields fail validation; bounded repair stops after configured attempts with typed error.</s:t>
        </s:is>
      </s:c>
      <s:c r="G61" s="18" t="inlineStr">
        <s:is>
          <s:t>S3-A01</s:t>
        </s:is>
      </s:c>
      <s:c r="H61" s="18" t="inlineStr">
        <s:is>
          <s:t>P0</s:t>
        </s:is>
      </s:c>
      <s:c r="I61" s="18" t="inlineStr">
        <s:is>
          <s:t>Programmer A</s:t>
        </s:is>
      </s:c>
      <s:c r="J61" s="18" t="inlineStr">
        <s:is>
          <s:t>Programmer B</s:t>
        </s:is>
      </s:c>
      <s:c r="K61" s="18" t="n">
        <s:v>7</s:v>
      </s:c>
      <s:c r="L61" s="28" t="inlineStr">
        <s:is>
          <s:t>In Progress</s:t>
        </s:is>
      </s:c>
      <s:c r="M61" s="13" t="inlineStr">
        <s:is>
          <s:t>Schema fuzz/fixture tests</s:t>
        </s:is>
      </s:c>
      <s:c r="N61" s="18" t="inlineStr">
        <s:is>
          <s:t>RG-06</s:t>
        </s:is>
      </s:c>
      <s:c r="O61" s="13" t="inlineStr">
        <s:is>
          <s:t>Model output treated as untrusted input.</s:t>
        </s:is>
      </s:c>
      <s:c r="P61" s="18" t="inlineStr">
        <s:is>
          <s:t>AI output contracts</s:t>
        </s:is>
      </s:c>
      <s:c r="Q61" s="14">
        <s:f>INDEX('01_ROADMAP'!$C$5:$C$15,MATCH(B61,'01_ROADMAP'!$A$5:$A$15,0))</s:f>
        <s:v>46314.0</s:v>
      </s:c>
      <s:c r="R61" s="14">
        <s:f>INDEX('01_ROADMAP'!$D$5:$D$15,MATCH(B61,'01_ROADMAP'!$A$5:$A$15,0))</s:f>
        <s:v>46327.0</s:v>
      </s:c>
      <s:c r="S61" s="29" t="inlineStr">
        <s:is>
          <s:t>docs/backlog-deep-audit-2026-09-07.json#S3-A03</s:t>
        </s:is>
      </s:c>
      <s:c r="T61" s="13" t="inlineStr">
        <s:is>
          <s:t>AI</s:t>
        </s:is>
      </s:c>
      <s:c r="U61" s="13" t="inlineStr">
        <s:is>
          <s:t>AI Platform</s:t>
        </s:is>
      </s:c>
      <s:c r="V61" s="13" t="inlineStr">
        <s:is>
          <s:t>GA</s:t>
        </s:is>
      </s:c>
      <s:c r="W61" s="13" t="inlineStr">
        <s:is>
          <s:t>N/A / API-domain contract consumed by frontend where applicable.</s:t>
        </s:is>
      </s:c>
      <s:c r="X61" s="13" t="inlineStr">
        <s:is>
          <s:t>Acceptance Criteria + Test Evidence + Release Gate</s:t>
        </s:is>
      </s:c>
      <s:c r="Y61" s="54" t="inlineStr">
        <s:is>
          <s:t>Pjesërisht</s:t>
        </s:is>
      </s:c>
      <s:c r="Z61" s="55" t="inlineStr">
        <s:is>
          <s:t>Captions përdor JSON Schema strict dhe Zod me kufij për variants/questions.</s:t>
        </s:is>
      </s:c>
      <s:c r="AA61" s="55" t="inlineStr">
        <s:is>
          <s:t>1. Nuk ka kontrata për inference/strategy/brief/QA, bounded repair ose fuzz fixtures; Pydantic nuk përdoret në backend-in aktual.</s:t>
        </s:is>
      </s:c>
      <s:c r="AB61" s="55" t="inlineStr">
        <s:is>
          <s:t>Prova e kërkuar nga backlog-u: Schema fuzz/fixture tests
Kriteri për t'u verifikuar (nuk deklarohet i kaluar): Malformed/extra/missing critical fields fail validation; bounded repair stops after configured attempts with typed error.
Pranimi kërkon edhe gate-et: RG-06. Asnjë gate nuk është shënuar Passed nga ky audit.</s:t>
        </s:is>
      </s:c>
      <s:c r="AC61" s="55" t="inlineStr">
        <s:is>
          <s:t>U rishikuan kodi/artefaktet dhe u kërkua implementimi i kësaj detyre. Nuk ka provë të ekzekutuar specifike që mbyll të gjithë kriterin; kontrollet globale nuk e zëvendësojnë atë.</s:t>
        </s:is>
      </s:c>
      <s:c r="AD61" s="55" t="inlineStr">
        <s:is>
          <s:t>apps/web/server/api/ai/captions.post.ts</s:t>
        </s:is>
      </s:c>
      <s:c r="AE61" s="42" t="inlineStr">
        <s:is>
          <s:t>Pjesërisht — kërkon zhvillim</s:t>
        </s:is>
      </s:c>
      <s:c r="AF61" s="42" t="inlineStr">
        <s:is>
          <s:t>Po</s:t>
        </s:is>
      </s:c>
      <s:c r="AG61" s="42" t="inlineStr">
        <s:is>
          <s:t>Po, pas implementimit</s:t>
        </s:is>
      </s:c>
      <s:c r="AH61" s="42" t="inlineStr">
        <s:is>
          <s:t>Nuk ka kontrata për inference/strategy/brief/QA, bounded repair ose fuzz fixtures; Pydantic nuk përdoret në backend-in aktual.</s:t>
        </s:is>
      </s:c>
      <s:c r="AI61" s="42" t="inlineStr">
        <s:is>
          <s:t>docs/backlog-code-handoff-2026-09-08.json#S3-A03</s:t>
        </s:is>
      </s:c>
      <s:c r="AJ61" s="42" t="inlineStr">
        <s:is>
          <s:t>Programmer A / review: Programmer B</s:t>
        </s:is>
      </s:c>
    </s:row>
    <s:row r="62" ht="155.1" customHeight="1" s="48">
      <s:c r="A62" s="17" t="inlineStr">
        <s:is>
          <s:t>S3-A04</s:t>
        </s:is>
      </s:c>
      <s:c r="B62" s="18" t="inlineStr">
        <s:is>
          <s:t>S3</s:t>
        </s:is>
      </s:c>
      <s:c r="C62" s="18" t="inlineStr">
        <s:is>
          <s:t>Business Brain AI</s:t>
        </s:is>
      </s:c>
      <s:c r="D62" s="12" t="inlineStr">
        <s:is>
          <s:t>Implement candidate fact and voice inference</s:t>
        </s:is>
      </s:c>
      <s:c r="E62" s="13" t="inlineStr">
        <s:is>
          <s:t>Build source snapshot, structured extraction, conflict/dedupe logic and candidate creation; never auto-verify high-impact facts.</s:t>
        </s:is>
      </s:c>
      <s:c r="F62" s="13" t="inlineStr">
        <s:is>
          <s:t>Missing info remains null; candidate stores source/confidence; conflicting values presented separately; no verified status assigned by model.</s:t>
        </s:is>
      </s:c>
      <s:c r="G62" s="18" t="inlineStr">
        <s:is>
          <s:t>S1-A06,S2-A07,S3-A03</s:t>
        </s:is>
      </s:c>
      <s:c r="H62" s="18" t="inlineStr">
        <s:is>
          <s:t>P0</s:t>
        </s:is>
      </s:c>
      <s:c r="I62" s="18" t="inlineStr">
        <s:is>
          <s:t>Programmer A</s:t>
        </s:is>
      </s:c>
      <s:c r="J62" s="18" t="inlineStr">
        <s:is>
          <s:t>Programmer B</s:t>
        </s:is>
      </s:c>
      <s:c r="K62" s="18" t="n">
        <s:v>9</s:v>
      </s:c>
      <s:c r="L62" s="30" t="inlineStr">
        <s:is>
          <s:t>Not Started</s:t>
        </s:is>
      </s:c>
      <s:c r="M62" s="13" t="inlineStr">
        <s:is>
          <s:t>Golden fixtures + domain integration</s:t>
        </s:is>
      </s:c>
      <s:c r="N62" s="18" t="inlineStr">
        <s:is>
          <s:t>RG-06</s:t>
        </s:is>
      </s:c>
      <s:c r="O62" s="13" t="inlineStr">
        <s:is>
          <s:t>Fact provenance required.</s:t>
        </s:is>
      </s:c>
      <s:c r="P62" s="18" t="inlineStr">
        <s:is>
          <s:t>brain inference job</s:t>
        </s:is>
      </s:c>
      <s:c r="Q62" s="14">
        <s:f>INDEX('01_ROADMAP'!$C$5:$C$15,MATCH(B62,'01_ROADMAP'!$A$5:$A$15,0))</s:f>
        <s:v>46314.0</s:v>
      </s:c>
      <s:c r="R62" s="14">
        <s:f>INDEX('01_ROADMAP'!$D$5:$D$15,MATCH(B62,'01_ROADMAP'!$A$5:$A$15,0))</s:f>
        <s:v>46327.0</s:v>
      </s:c>
      <s:c r="S62" s="29" t="inlineStr">
        <s:is>
          <s:t>docs/backlog-deep-audit-2026-09-07.json#S3-A04</s:t>
        </s:is>
      </s:c>
      <s:c r="T62" s="13" t="inlineStr">
        <s:is>
          <s:t>AI</s:t>
        </s:is>
      </s:c>
      <s:c r="U62" s="13" t="inlineStr">
        <s:is>
          <s:t>AI Platform</s:t>
        </s:is>
      </s:c>
      <s:c r="V62" s="13" t="inlineStr">
        <s:is>
          <s:t>GA</s:t>
        </s:is>
      </s:c>
      <s:c r="W62" s="13" t="inlineStr">
        <s:is>
          <s:t>N/A / API-domain contract consumed by frontend where applicable.</s:t>
        </s:is>
      </s:c>
      <s:c r="X62" s="13" t="inlineStr">
        <s:is>
          <s:t>Acceptance Criteria + Test Evidence + Release Gate</s:t>
        </s:is>
      </s:c>
      <s:c r="Y62" s="57" t="inlineStr">
        <s:is>
          <s:t>Pa filluar</s:t>
        </s:is>
      </s:c>
      <s:c r="Z62" s="56" t="inlineStr">
        <s:is>
          <s:t>Historia sociale mund të përdoret vetëm si referencë stili për captions.</s:t>
        </s:is>
      </s:c>
      <s:c r="AA62" s="56" t="inlineStr">
        <s:is>
          <s:t>1. Nuk ka source snapshots, extraction/candidates/confidence, conflict/dedupe ose inferred voice/facts të konfirmueshme.</s:t>
        </s:is>
      </s:c>
      <s:c r="AB62" s="56" t="inlineStr">
        <s:is>
          <s:t>Prova e kërkuar nga backlog-u: Golden fixtures + domain integration
Kriteri për t'u verifikuar (nuk deklarohet i kaluar): Missing info remains null; candidate stores source/confidence; conflicting values presented separately; no verified status assigned by model.
Pranimi kërkon edhe gate-et: RG-06. Asnjë gate nuk është shënuar Passed nga ky audit.</s:t>
        </s:is>
      </s:c>
      <s:c r="AC62" s="56" t="inlineStr">
        <s:is>
          <s:t>U rishikuan kodi/artefaktet dhe u kërkua implementimi i kësaj detyre. Nuk ka provë të ekzekutuar specifike që mbyll të gjithë kriterin; kontrollet globale nuk e zëvendësojnë atë.</s:t>
        </s:is>
      </s:c>
      <s:c r="AD62" s="56" t="inlineStr">
        <s:is>
          <s:t>apps/web/server/api/ai/captions.post.ts</s:t>
        </s:is>
      </s:c>
      <s:c r="AE62" s="42" t="inlineStr">
        <s:is>
          <s:t>Pa filluar</s:t>
        </s:is>
      </s:c>
      <s:c r="AF62" s="42" t="inlineStr">
        <s:is>
          <s:t>Po</s:t>
        </s:is>
      </s:c>
      <s:c r="AG62" s="42" t="inlineStr">
        <s:is>
          <s:t>Po, pas implementimit</s:t>
        </s:is>
      </s:c>
      <s:c r="AH62" s="42" t="inlineStr">
        <s:is>
          <s:t>Nuk ka source snapshots, extraction/candidates/confidence, conflict/dedupe ose inferred voice/facts të konfirmueshme.</s:t>
        </s:is>
      </s:c>
      <s:c r="AI62" s="42" t="inlineStr">
        <s:is>
          <s:t>docs/backlog-code-handoff-2026-09-08.json#S3-A04</s:t>
        </s:is>
      </s:c>
      <s:c r="AJ62" s="42" t="inlineStr">
        <s:is>
          <s:t>Programmer A / review: Programmer B</s:t>
        </s:is>
      </s:c>
    </s:row>
    <s:row r="63" ht="180" customHeight="1" s="48">
      <s:c r="A63" s="17" t="inlineStr">
        <s:is>
          <s:t>S3-A05</s:t>
        </s:is>
      </s:c>
      <s:c r="B63" s="18" t="inlineStr">
        <s:is>
          <s:t>S3</s:t>
        </s:is>
      </s:c>
      <s:c r="C63" s="18" t="inlineStr">
        <s:is>
          <s:t>AI Grounding</s:t>
        </s:is>
      </s:c>
      <s:c r="D63" s="12" t="inlineStr">
        <s:is>
          <s:t>Build immutable evidence pack compiler</s:t>
        </s:is>
      </s:c>
      <s:c r="E63" s="13" t="inlineStr">
        <s:is>
          <s:t>Compile verified facts/offers, voice version, guardrails, goal, recent content and selected assets into bounded snapshot for each AI run.</s:t>
        </s:is>
      </s:c>
      <s:c r="F63" s="13" t="inlineStr">
        <s:is>
          <s:t>Every generation records evidence IDs/hash; expired/unverified offer excluded; pack size limits enforced.</s:t>
        </s:is>
      </s:c>
      <s:c r="G63" s="18" t="inlineStr">
        <s:is>
          <s:t>S3-A04,S1-A06</s:t>
        </s:is>
      </s:c>
      <s:c r="H63" s="18" t="inlineStr">
        <s:is>
          <s:t>P0</s:t>
        </s:is>
      </s:c>
      <s:c r="I63" s="18" t="inlineStr">
        <s:is>
          <s:t>Programmer A</s:t>
        </s:is>
      </s:c>
      <s:c r="J63" s="18" t="inlineStr">
        <s:is>
          <s:t>Programmer B</s:t>
        </s:is>
      </s:c>
      <s:c r="K63" s="18" t="n">
        <s:v>8</s:v>
      </s:c>
      <s:c r="L63" s="28" t="inlineStr">
        <s:is>
          <s:t>In Progress</s:t>
        </s:is>
      </s:c>
      <s:c r="M63" s="13" t="inlineStr">
        <s:is>
          <s:t>Evidence inclusion/exclusion tests</s:t>
        </s:is>
      </s:c>
      <s:c r="N63" s="18" t="inlineStr">
        <s:is>
          <s:t>RG-06</s:t>
        </s:is>
      </s:c>
      <s:c r="O63" s="13" t="inlineStr">
        <s:is>
          <s:t>No unverified commercial facts.</s:t>
        </s:is>
      </s:c>
      <s:c r="P63" s="18" t="inlineStr">
        <s:is>
          <s:t>evidence pack service</s:t>
        </s:is>
      </s:c>
      <s:c r="Q63" s="14">
        <s:f>INDEX('01_ROADMAP'!$C$5:$C$15,MATCH(B63,'01_ROADMAP'!$A$5:$A$15,0))</s:f>
        <s:v>46314.0</s:v>
      </s:c>
      <s:c r="R63" s="14">
        <s:f>INDEX('01_ROADMAP'!$D$5:$D$15,MATCH(B63,'01_ROADMAP'!$A$5:$A$15,0))</s:f>
        <s:v>46327.0</s:v>
      </s:c>
      <s:c r="S63" s="29" t="inlineStr">
        <s:is>
          <s:t>docs/backlog-partial-progress-2026-09-08.json#S3-A05</s:t>
        </s:is>
      </s:c>
      <s:c r="T63" s="13" t="inlineStr">
        <s:is>
          <s:t>AI</s:t>
        </s:is>
      </s:c>
      <s:c r="U63" s="13" t="inlineStr">
        <s:is>
          <s:t>AI Platform</s:t>
        </s:is>
      </s:c>
      <s:c r="V63" s="13" t="inlineStr">
        <s:is>
          <s:t>GA</s:t>
        </s:is>
      </s:c>
      <s:c r="W63" s="13" t="inlineStr">
        <s:is>
          <s:t>N/A / API-domain contract consumed by frontend where applicable.</s:t>
        </s:is>
      </s:c>
      <s:c r="X63" s="13" t="inlineStr">
        <s:is>
          <s:t>Acceptance Criteria + Test Evidence + Release Gate</s:t>
        </s:is>
      </s:c>
      <s:c r="Y63" s="54" t="inlineStr">
        <s:is>
          <s:t>Pjesërisht</s:t>
        </s:is>
      </s:c>
      <s:c r="Z63" s="55" t="inlineStr">
        <s:is>
          <s:t>AI style history përdor vetëm postimet e source account-it të lidhur aktualisht; profil/facts verified mbeten konteksti bazë.</s:t>
        </s:is>
      </s:c>
      <s:c r="AA63" s="55" t="inlineStr">
        <s:is>
          <s:t>Mbetet evidence pack immutable me IDs, hashes, voice/offer validity, size limits dhe inclusion/exclusion suite.</s:t>
        </s:is>
      </s:c>
      <s:c r="AB63" s="55" t="inlineStr">
        <s:is>
          <s:t>Prova e kërkuar nga backlog-u: Evidence inclusion/exclusion tests
Kriteri për t'u verifikuar (nuk deklarohet i kaluar): Every generation records evidence IDs/hash; expired/unverified offer excluded; pack size limits enforced.
DA-05: Import nga faqja A, lidh faqen B, import i ri: lista dhe konteksti i B përmbajnë vetëm burimet e zgjedhura, me provenance të ruajtur.
Pranimi kërkon edhe gate-et: RG-06. Asnjë gate nuk është shënuar Passed nga ky audit.</s:t>
        </s:is>
      </s:c>
      <s:c r="AC63" s="55" t="inlineStr">
        <s:is>
          <s:t>Source separation ka DB test; evidence compiler i plotë nuk ekziston.</s:t>
        </s:is>
      </s:c>
      <s:c r="AD63" s="55" t="inlineStr">
        <s:is>
          <s:t>apps/web/server/api/ai/captions.post.ts
apps/web/database/migrations/0008_provider_reliability.sql</s:t>
        </s:is>
      </s:c>
      <s:c r="AE63" s="42" t="inlineStr">
        <s:is>
          <s:t>Pjesërisht — kërkon zhvillim</s:t>
        </s:is>
      </s:c>
      <s:c r="AF63" s="42" t="inlineStr">
        <s:is>
          <s:t>Po</s:t>
        </s:is>
      </s:c>
      <s:c r="AG63" s="42" t="inlineStr">
        <s:is>
          <s:t>Po, pas implementimit</s:t>
        </s:is>
      </s:c>
      <s:c r="AH63" s="42" t="inlineStr">
        <s:is>
          <s:t>Mbetet evidence pack immutable me IDs, hashes, voice/offer validity, size limits dhe inclusion/exclusion suite.</s:t>
        </s:is>
      </s:c>
      <s:c r="AI63" s="42" t="inlineStr">
        <s:is>
          <s:t>docs/backlog-code-handoff-2026-09-08.json#S3-A05</s:t>
        </s:is>
      </s:c>
      <s:c r="AJ63" s="42" t="inlineStr">
        <s:is>
          <s:t>Programmer A / review: Programmer B</s:t>
        </s:is>
      </s:c>
    </s:row>
    <s:row r="64" ht="155.1" customHeight="1" s="48">
      <s:c r="A64" s="17" t="inlineStr">
        <s:is>
          <s:t>S3-A06</s:t>
        </s:is>
      </s:c>
      <s:c r="B64" s="18" t="inlineStr">
        <s:is>
          <s:t>S3</s:t>
        </s:is>
      </s:c>
      <s:c r="C64" s="18" t="inlineStr">
        <s:is>
          <s:t>Media Intelligence</s:t>
        </s:is>
      </s:c>
      <s:c r="D64" s="12" t="inlineStr">
        <s:is>
          <s:t>Implement asset analysis and semantic retrieval</s:t>
        </s:is>
      </s:c>
      <s:c r="E64" s="13" t="inlineStr">
        <s:is>
          <s:t>Generate safe visual summaries/tags/quality metadata, text embeddings where configured, and hybrid filtered+semantic asset selection.</s:t>
        </s:is>
      </s:c>
      <s:c r="F64" s="13" t="inlineStr">
        <s:is>
          <s:t>Search respects org/brand/type/orientation; recently overused asset can be penalized; no cross-tenant result.</s:t>
        </s:is>
      </s:c>
      <s:c r="G64" s="18" t="inlineStr">
        <s:is>
          <s:t>S2-A03,S3-A01</s:t>
        </s:is>
      </s:c>
      <s:c r="H64" s="18" t="inlineStr">
        <s:is>
          <s:t>P1</s:t>
        </s:is>
      </s:c>
      <s:c r="I64" s="18" t="inlineStr">
        <s:is>
          <s:t>Programmer B</s:t>
        </s:is>
      </s:c>
      <s:c r="J64" s="18" t="inlineStr">
        <s:is>
          <s:t>Programmer A</s:t>
        </s:is>
      </s:c>
      <s:c r="K64" s="18" t="n">
        <s:v>8</s:v>
      </s:c>
      <s:c r="L64" s="30" t="inlineStr">
        <s:is>
          <s:t>Not Started</s:t>
        </s:is>
      </s:c>
      <s:c r="M64" s="13" t="inlineStr">
        <s:is>
          <s:t>Retrieval relevance + tenant tests</s:t>
        </s:is>
      </s:c>
      <s:c r="N64" s="18" t="inlineStr">
        <s:is>
          <s:t>RG-05,RG-06</s:t>
        </s:is>
      </s:c>
      <s:c r="O64" s="13" t="inlineStr">
        <s:is>
          <s:t>Only selected asset metadata sent to model.</s:t>
        </s:is>
      </s:c>
      <s:c r="P64" s="18" t="inlineStr">
        <s:is>
          <s:t>asset intelligence/search</s:t>
        </s:is>
      </s:c>
      <s:c r="Q64" s="14">
        <s:f>INDEX('01_ROADMAP'!$C$5:$C$15,MATCH(B64,'01_ROADMAP'!$A$5:$A$15,0))</s:f>
        <s:v>46314.0</s:v>
      </s:c>
      <s:c r="R64" s="14">
        <s:f>INDEX('01_ROADMAP'!$D$5:$D$15,MATCH(B64,'01_ROADMAP'!$A$5:$A$15,0))</s:f>
        <s:v>46327.0</s:v>
      </s:c>
      <s:c r="S64" s="29" t="inlineStr">
        <s:is>
          <s:t>docs/backlog-deep-audit-2026-09-07.json#S3-A06</s:t>
        </s:is>
      </s:c>
      <s:c r="T64" s="13" t="inlineStr">
        <s:is>
          <s:t>AI</s:t>
        </s:is>
      </s:c>
      <s:c r="U64" s="13" t="inlineStr">
        <s:is>
          <s:t>Gallery</s:t>
        </s:is>
      </s:c>
      <s:c r="V64" s="13" t="inlineStr">
        <s:is>
          <s:t>GA</s:t>
        </s:is>
      </s:c>
      <s:c r="W64" s="13" t="inlineStr">
        <s:is>
          <s:t>See companion DOCX; use Nuxt UI primitives and shared design system for user-facing tasks.</s:t>
        </s:is>
      </s:c>
      <s:c r="X64" s="13" t="inlineStr">
        <s:is>
          <s:t>Acceptance Criteria + Test Evidence + Release Gate</s:t>
        </s:is>
      </s:c>
      <s:c r="Y64" s="57" t="inlineStr">
        <s:is>
          <s:t>Pa filluar</s:t>
        </s:is>
      </s:c>
      <s:c r="Z64" s="56" t="inlineStr">
        <s:is>
          <s:t>Nuk u gjet implementim për analizë semantike/embeddings, AI image generation ose golden-eval harness sipas task-ut.</s:t>
        </s:is>
      </s:c>
      <s:c r="AA64" s="56" t="inlineStr">
        <s:is>
          <s:t>1. Implemento analizë të asset-it me tags/quality dhe embeddings kur aktivizohen; retrieval me filtra tenant/brand/type/orientation dhe ulje të materialeve të mbipërdorura. Provo relevance dhe izolimin.</s:t>
        </s:is>
      </s:c>
      <s:c r="AB64" s="56" t="inlineStr">
        <s:is>
          <s:t>Prova e kërkuar nga backlog-u: Retrieval relevance + tenant tests
Kriteri për t'u verifikuar (nuk deklarohet i kaluar): Search respects org/brand/type/orientation; recently overused asset can be penalized; no cross-tenant result.
Pranimi kërkon edhe gate-et: RG-05,RG-06. Asnjë gate nuk është shënuar Passed nga ky audit.</s:t>
        </s:is>
      </s:c>
      <s:c r="AC64" s="56" t="inlineStr">
        <s:is>
          <s:t>U rishikuan kodi/artefaktet dhe u kërkua implementimi i kësaj detyre. Nuk ka provë të ekzekutuar specifike që mbyll të gjithë kriterin; kontrollet globale nuk e zëvendësojnë atë.</s:t>
        </s:is>
      </s:c>
      <s:c r="AD64" s="56" t="inlineStr">
        <s:is>
          <s:t>Nuk u gjet implementim specifik; shiko kriterin dhe hapat në AA/AB.</s:t>
        </s:is>
      </s:c>
      <s:c r="AE64" s="42" t="inlineStr">
        <s:is>
          <s:t>Pa filluar</s:t>
        </s:is>
      </s:c>
      <s:c r="AF64" s="42" t="inlineStr">
        <s:is>
          <s:t>Po</s:t>
        </s:is>
      </s:c>
      <s:c r="AG64" s="42" t="inlineStr">
        <s:is>
          <s:t>Po, pas implementimit</s:t>
        </s:is>
      </s:c>
      <s:c r="AH64" s="42" t="inlineStr">
        <s:is>
          <s:t>Implemento analizë të asset-it me tags/quality dhe embeddings kur aktivizohen; retrieval me filtra tenant/brand/type/orientation dhe ulje të materialeve të mbipërdorura. Provo relevance dhe izolimin.</s:t>
        </s:is>
      </s:c>
      <s:c r="AI64" s="42" t="inlineStr">
        <s:is>
          <s:t>docs/backlog-code-handoff-2026-09-08.json#S3-A06</s:t>
        </s:is>
      </s:c>
      <s:c r="AJ64" s="42" t="inlineStr">
        <s:is>
          <s:t>Programmer B / review: Programmer A</s:t>
        </s:is>
      </s:c>
    </s:row>
    <s:row r="65" ht="180" customHeight="1" s="48">
      <s:c r="A65" s="17" t="inlineStr">
        <s:is>
          <s:t>S3-A07</s:t>
        </s:is>
      </s:c>
      <s:c r="B65" s="18" t="inlineStr">
        <s:is>
          <s:t>S3</s:t>
        </s:is>
      </s:c>
      <s:c r="C65" s="18" t="inlineStr">
        <s:is>
          <s:t>Content Domain</s:t>
        </s:is>
      </s:c>
      <s:c r="D65" s="12" t="inlineStr">
        <s:is>
          <s:t>Implement content items and immutable versions</s:t>
        </s:is>
      </s:c>
      <s:c r="E65" s="13" t="inlineStr">
        <s:is>
          <s:t>Create campaigns/content_items/content_versions schema and services, version increment, optimistic edit rules and fact/asset reference validation.</s:t>
        </s:is>
      </s:c>
      <s:c r="F65" s="13" t="inlineStr">
        <s:is>
          <s:t>Published/approved version never mutated; edit creates new version as required; version belongs to same brand as refs.</s:t>
        </s:is>
      </s:c>
      <s:c r="G65" s="18" t="inlineStr">
        <s:is>
          <s:t>S1-A05,S2-A01</s:t>
        </s:is>
      </s:c>
      <s:c r="H65" s="18" t="inlineStr">
        <s:is>
          <s:t>P0</s:t>
        </s:is>
      </s:c>
      <s:c r="I65" s="18" t="inlineStr">
        <s:is>
          <s:t>Programmer A</s:t>
        </s:is>
      </s:c>
      <s:c r="J65" s="18" t="inlineStr">
        <s:is>
          <s:t>Programmer B</s:t>
        </s:is>
      </s:c>
      <s:c r="K65" s="18" t="n">
        <s:v>8</s:v>
      </s:c>
      <s:c r="L65" s="28" t="inlineStr">
        <s:is>
          <s:t>In Review</s:t>
        </s:is>
      </s:c>
      <s:c r="M65" s="13" t="inlineStr">
        <s:is>
          <s:t>Domain/DB/version concurrency tests</s:t>
        </s:is>
      </s:c>
      <s:c r="N65" s="18" t="inlineStr">
        <s:is>
          <s:t>RG-06</s:t>
        </s:is>
      </s:c>
      <s:c r="O65" s="13" t="inlineStr">
        <s:is>
          <s:t>Immutable publishable snapshot.</s:t>
        </s:is>
      </s:c>
      <s:c r="P65" s="18" t="inlineStr">
        <s:is>
          <s:t>content domain module</s:t>
        </s:is>
      </s:c>
      <s:c r="Q65" s="14">
        <s:f>INDEX('01_ROADMAP'!$C$5:$C$15,MATCH(B65,'01_ROADMAP'!$A$5:$A$15,0))</s:f>
        <s:v>46314.0</s:v>
      </s:c>
      <s:c r="R65" s="14">
        <s:f>INDEX('01_ROADMAP'!$D$5:$D$15,MATCH(B65,'01_ROADMAP'!$A$5:$A$15,0))</s:f>
        <s:v>46327.0</s:v>
      </s:c>
      <s:c r="S65" s="29" t="inlineStr">
        <s:is>
          <s:t>docs/backlog-partial-progress-2026-09-08.json#S3-A07</s:t>
        </s:is>
      </s:c>
      <s:c r="T65" s="13" t="inlineStr">
        <s:is>
          <s:t>BACKEND</s:t>
        </s:is>
      </s:c>
      <s:c r="U65" s="13" t="inlineStr">
        <s:is>
          <s:t>Content Studio</s:t>
        </s:is>
      </s:c>
      <s:c r="V65" s="13" t="inlineStr">
        <s:is>
          <s:t>GA</s:t>
        </s:is>
      </s:c>
      <s:c r="W65" s="13" t="inlineStr">
        <s:is>
          <s:t>N/A / API-domain contract consumed by frontend where applicable.</s:t>
        </s:is>
      </s:c>
      <s:c r="X65" s="13" t="inlineStr">
        <s:is>
          <s:t>Acceptance Criteria + Test Evidence + Release Gate</s:t>
        </s:is>
      </s:c>
      <s:c r="Y65" s="54" t="inlineStr">
        <s:is>
          <s:t>Implementuar — në pranim</s:t>
        </s:is>
      </s:c>
      <s:c r="Z65" s="55" t="inlineStr">
        <s:is>
          <s:t>Migrimet 0009/0010 ndajnë contentVersion nga workflow version, ruajnë snapshot të plotë immutable me actor/source/fingerprint dhe lidhin validation, approval dhe publication job me të njëjtin version/tenant. Editimi krijon version të ri.
Klasifikimi 2026-09-08: Versionet/snapshot-et immutable dhe tenant FKs janë implementuar; pret concurrency/release acceptance.</s:t>
        </s:is>
      </s:c>
      <s:c r="AA65" s="55" t="inlineStr">
        <s:is>
          <s:t>Mbeten concurrency test për dy writer-a në endpoint, verifikim i published-version me provider fixture dhe RG-06. Historia caption para 0009 nuk mund të rikonstruktohet si snapshot i plotë dhe shënohet legacy.</s:t>
        </s:is>
      </s:c>
      <s:c r="AB65" s="55" t="inlineStr">
        <s:is>
          <s:t>Prova e kërkuar nga backlog-u: Domain/DB/version concurrency tests
Kriteri për t'u verifikuar (nuk deklarohet i kaluar): Published/approved version never mutated; edit creates new version as required; version belongs to same brand as refs.
DA-07: Ndrysho fotografi/tekst/kanal pas miratimit; versioni i vjetër mbetet identik dhe approval i vjetër nuk autorizon versionin e ri; provo konkurencën.
Pranimi kërkon edhe gate-et: RG-06. Asnjë gate nuk është shënuar Passed nga ky audit.</s:t>
        </s:is>
      </s:c>
      <s:c r="AC65" s="55" t="inlineStr">
        <s:is>
          <s:t>Integration test provon immutability trigger, approval që nuk kalon te versioni i ri dhe FK që refuzon tenant tjetër; 47/47 kaluan.</s:t>
        </s:is>
      </s:c>
      <s:c r="AD65" s="55" t="inlineStr">
        <s:is>
          <s:t>apps/web/database/migrations/0009_immutable_content_versions.sql
apps/web/database/migrations/0010_content_tenant_integrity.sql
apps/web/server/api/workspaces/[id].put.ts
apps/web/server/utils/post-validation.ts
apps/web/tests/integration/server.test.ts</s:t>
        </s:is>
      </s:c>
      <s:c r="AE65" s="42" t="inlineStr">
        <s:is>
          <s:t>Kryer në kod — pret pranim/gate</s:t>
        </s:is>
      </s:c>
      <s:c r="AF65" s="42" t="inlineStr">
        <s:is>
          <s:t>Jo për scope-in e rreshtit</s:t>
        </s:is>
      </s:c>
      <s:c r="AG65" s="42" t="inlineStr">
        <s:is>
          <s:t>Po</s:t>
        </s:is>
      </s:c>
      <s:c r="AH65" s="42" t="inlineStr">
        <s:is>
          <s:t>Mbeten concurrency test për dy writer-a në endpoint, verifikim i published-version me provider fixture dhe RG-06. Historia caption para 0009 nuk mund të rikonstruktohet si snapshot i plotë dhe shënohet legacy.</s:t>
        </s:is>
      </s:c>
      <s:c r="AI65" s="42" t="inlineStr">
        <s:is>
          <s:t>docs/backlog-code-handoff-2026-09-08.json#S3-A07</s:t>
        </s:is>
      </s:c>
      <s:c r="AJ65" s="42" t="inlineStr">
        <s:is>
          <s:t>Programmer A / review: Programmer B</s:t>
        </s:is>
      </s:c>
    </s:row>
    <s:row r="66" ht="155.1" customHeight="1" s="48">
      <s:c r="A66" s="17" t="inlineStr">
        <s:is>
          <s:t>S3-A08</s:t>
        </s:is>
      </s:c>
      <s:c r="B66" s="18" t="inlineStr">
        <s:is>
          <s:t>S3</s:t>
        </s:is>
      </s:c>
      <s:c r="C66" s="18" t="inlineStr">
        <s:is>
          <s:t>AI Orchestration</s:t>
        </s:is>
      </s:c>
      <s:c r="D66" s="12" t="inlineStr">
        <s:is>
          <s:t>Implement content generation workflow</s:t>
        </s:is>
      </s:c>
      <s:c r="E66" s="13" t="inlineStr">
        <s:is>
          <s:t>Orchestrate evidence -&gt; strategy -&gt; copy -&gt; creative brief -&gt; QA as durable job with per-stage result/error and resumable state.</s:t>
        </s:is>
      </s:c>
      <s:c r="F66" s="13" t="inlineStr">
        <s:is>
          <s:t>HTTP returns accepted job; worker retry does not duplicate content version; failed stage exposes typed reason; successful output references prompt/evidence.</s:t>
        </s:is>
      </s:c>
      <s:c r="G66" s="18" t="inlineStr">
        <s:is>
          <s:t>S0-A08,S3-A02,S3-A05,S3-A07</s:t>
        </s:is>
      </s:c>
      <s:c r="H66" s="18" t="inlineStr">
        <s:is>
          <s:t>P0</s:t>
        </s:is>
      </s:c>
      <s:c r="I66" s="18" t="inlineStr">
        <s:is>
          <s:t>Programmer A</s:t>
        </s:is>
      </s:c>
      <s:c r="J66" s="18" t="inlineStr">
        <s:is>
          <s:t>Programmer B</s:t>
        </s:is>
      </s:c>
      <s:c r="K66" s="18" t="n">
        <s:v>10</s:v>
      </s:c>
      <s:c r="L66" s="28" t="inlineStr">
        <s:is>
          <s:t>In Progress</s:t>
        </s:is>
      </s:c>
      <s:c r="M66" s="13" t="inlineStr">
        <s:is>
          <s:t>Worker crash/retry/integration tests</s:t>
        </s:is>
      </s:c>
      <s:c r="N66" s="18" t="inlineStr">
        <s:is>
          <s:t>RG-06</s:t>
        </s:is>
      </s:c>
      <s:c r="O66" s="13" t="inlineStr">
        <s:is>
          <s:t>No model directly triggers publish/tool side effect.</s:t>
        </s:is>
      </s:c>
      <s:c r="P66" s="18" t="inlineStr">
        <s:is>
          <s:t>generation orchestrator</s:t>
        </s:is>
      </s:c>
      <s:c r="Q66" s="14">
        <s:f>INDEX('01_ROADMAP'!$C$5:$C$15,MATCH(B66,'01_ROADMAP'!$A$5:$A$15,0))</s:f>
        <s:v>46314.0</s:v>
      </s:c>
      <s:c r="R66" s="14">
        <s:f>INDEX('01_ROADMAP'!$D$5:$D$15,MATCH(B66,'01_ROADMAP'!$A$5:$A$15,0))</s:f>
        <s:v>46327.0</s:v>
      </s:c>
      <s:c r="S66" s="29" t="inlineStr">
        <s:is>
          <s:t>docs/backlog-deep-audit-2026-09-07.json#S3-A08</s:t>
        </s:is>
      </s:c>
      <s:c r="T66" s="13" t="inlineStr">
        <s:is>
          <s:t>AI</s:t>
        </s:is>
      </s:c>
      <s:c r="U66" s="13" t="inlineStr">
        <s:is>
          <s:t>Content Studio</s:t>
        </s:is>
      </s:c>
      <s:c r="V66" s="13" t="inlineStr">
        <s:is>
          <s:t>GA</s:t>
        </s:is>
      </s:c>
      <s:c r="W66" s="13" t="inlineStr">
        <s:is>
          <s:t>N/A / API-domain contract consumed by frontend where applicable.</s:t>
        </s:is>
      </s:c>
      <s:c r="X66" s="13" t="inlineStr">
        <s:is>
          <s:t>Acceptance Criteria + Test Evidence + Release Gate</s:t>
        </s:is>
      </s:c>
      <s:c r="Y66" s="54" t="inlineStr">
        <s:is>
          <s:t>Pjesërisht</s:t>
        </s:is>
      </s:c>
      <s:c r="Z66" s="56" t="inlineStr">
        <s:is>
          <s:t>Caption generation ruan request ID/input hash/status/output dhe parandalon ripërsëritjen logjike të request-it.</s:t>
        </s:is>
      </s:c>
      <s:c r="AA66" s="56" t="inlineStr">
        <s:is>
          <s:t>1. Kërkesa HTTP pret provider-in; mungon durable multi-stage workflow/resume/worker dhe references prompt/evidence. Nuk është implementuar pipeline strategy→brief→QA.</s:t>
        </s:is>
      </s:c>
      <s:c r="AB66" s="56" t="inlineStr">
        <s:is>
          <s:t>Prova e kërkuar nga backlog-u: Worker crash/retry/integration tests
Kriteri për t'u verifikuar (nuk deklarohet i kaluar): HTTP returns accepted job; worker retry does not duplicate content version; failed stage exposes typed reason; successful output references prompt/evidence.
Pranimi kërkon edhe gate-et: RG-06. Asnjë gate nuk është shënuar Passed nga ky audit.</s:t>
        </s:is>
      </s:c>
      <s:c r="AC66" s="56" t="inlineStr">
        <s:is>
          <s:t>U rishikuan kodi/artefaktet dhe u kërkua implementimi i kësaj detyre. Nuk ka provë të ekzekutuar specifike që mbyll të gjithë kriterin; kontrollet globale nuk e zëvendësojnë atë.</s:t>
        </s:is>
      </s:c>
      <s:c r="AD66" s="56" t="inlineStr">
        <s:is>
          <s:t>apps/web/server/api/ai/captions.post.ts
apps/web/database/migrations/0006_ai_usage.sql</s:t>
        </s:is>
      </s:c>
      <s:c r="AE66" s="42" t="inlineStr">
        <s:is>
          <s:t>Pjesërisht — kërkon zhvillim</s:t>
        </s:is>
      </s:c>
      <s:c r="AF66" s="42" t="inlineStr">
        <s:is>
          <s:t>Po</s:t>
        </s:is>
      </s:c>
      <s:c r="AG66" s="42" t="inlineStr">
        <s:is>
          <s:t>Po — përzier me punë të jashtme</s:t>
        </s:is>
      </s:c>
      <s:c r="AH66" s="42" t="inlineStr">
        <s:is>
          <s:t>Kërkesa HTTP pret provider-in; mungon durable multi-stage workflow/resume/worker dhe references prompt/evidence. Nuk është implementuar pipeline strategy→brief→QA.</s:t>
        </s:is>
      </s:c>
      <s:c r="AI66" s="42" t="inlineStr">
        <s:is>
          <s:t>docs/backlog-code-handoff-2026-09-08.json#S3-A08</s:t>
        </s:is>
      </s:c>
      <s:c r="AJ66" s="42" t="inlineStr">
        <s:is>
          <s:t>Programmer A / review: Programmer B</s:t>
        </s:is>
      </s:c>
    </s:row>
    <s:row r="67" ht="155.1" customHeight="1" s="48">
      <s:c r="A67" s="17" t="inlineStr">
        <s:is>
          <s:t>S3-A09</s:t>
        </s:is>
      </s:c>
      <s:c r="B67" s="18" t="inlineStr">
        <s:is>
          <s:t>S3</s:t>
        </s:is>
      </s:c>
      <s:c r="C67" s="18" t="inlineStr">
        <s:is>
          <s:t>Image AI</s:t>
        </s:is>
      </s:c>
      <s:c r="D67" s="12" t="inlineStr">
        <s:is>
          <s:t>Implement GPT-Image-2 edit/generate adapter</s:t>
        </s:is>
      </s:c>
      <s:c r="E67" s="13" t="inlineStr">
        <s:is>
          <s:t>Create image request contract using approved real assets, pinned snapshot config, output ingest to private storage and lineage to ai_run/parents.</s:t>
        </s:is>
      </s:c>
      <s:c r="F67" s="13" t="inlineStr">
        <s:is>
          <s:t>Generated asset has lineage/checksum; failures/budget limits typed; snapshot/version recorded; input ownership verified.</s:t>
        </s:is>
      </s:c>
      <s:c r="G67" s="18" t="inlineStr">
        <s:is>
          <s:t>S3-A01,S2-A03</s:t>
        </s:is>
      </s:c>
      <s:c r="H67" s="18" t="inlineStr">
        <s:is>
          <s:t>P0</s:t>
        </s:is>
      </s:c>
      <s:c r="I67" s="18" t="inlineStr">
        <s:is>
          <s:t>Programmer A</s:t>
        </s:is>
      </s:c>
      <s:c r="J67" s="18" t="inlineStr">
        <s:is>
          <s:t>Programmer B</s:t>
        </s:is>
      </s:c>
      <s:c r="K67" s="18" t="n">
        <s:v>8</s:v>
      </s:c>
      <s:c r="L67" s="30" t="inlineStr">
        <s:is>
          <s:t>Not Started</s:t>
        </s:is>
      </s:c>
      <s:c r="M67" s="13" t="inlineStr">
        <s:is>
          <s:t>Mock + controlled staging image tests</s:t>
        </s:is>
      </s:c>
      <s:c r="N67" s="18" t="inlineStr">
        <s:is>
          <s:t>RG-05,RG-06</s:t>
        </s:is>
      </s:c>
      <s:c r="O67" s="13" t="inlineStr">
        <s:is>
          <s:t>Real-asset provenance; no public permanent URL.</s:t>
        </s:is>
      </s:c>
      <s:c r="P67" s="18" t="inlineStr">
        <s:is>
          <s:t>image generation adapter</s:t>
        </s:is>
      </s:c>
      <s:c r="Q67" s="14">
        <s:f>INDEX('01_ROADMAP'!$C$5:$C$15,MATCH(B67,'01_ROADMAP'!$A$5:$A$15,0))</s:f>
        <s:v>46314.0</s:v>
      </s:c>
      <s:c r="R67" s="14">
        <s:f>INDEX('01_ROADMAP'!$D$5:$D$15,MATCH(B67,'01_ROADMAP'!$A$5:$A$15,0))</s:f>
        <s:v>46327.0</s:v>
      </s:c>
      <s:c r="S67" s="29" t="inlineStr">
        <s:is>
          <s:t>docs/backlog-deep-audit-2026-09-07.json#S3-A09</s:t>
        </s:is>
      </s:c>
      <s:c r="T67" s="13" t="inlineStr">
        <s:is>
          <s:t>AI</s:t>
        </s:is>
      </s:c>
      <s:c r="U67" s="13" t="inlineStr">
        <s:is>
          <s:t>AI Platform</s:t>
        </s:is>
      </s:c>
      <s:c r="V67" s="13" t="inlineStr">
        <s:is>
          <s:t>GA</s:t>
        </s:is>
      </s:c>
      <s:c r="W67" s="13" t="inlineStr">
        <s:is>
          <s:t>N/A / API-domain contract consumed by frontend where applicable.</s:t>
        </s:is>
      </s:c>
      <s:c r="X67" s="13" t="inlineStr">
        <s:is>
          <s:t>Acceptance Criteria + Test Evidence + Release Gate</s:t>
        </s:is>
      </s:c>
      <s:c r="Y67" s="57" t="inlineStr">
        <s:is>
          <s:t>Pa filluar</s:t>
        </s:is>
      </s:c>
      <s:c r="Z67" s="55" t="inlineStr">
        <s:is>
          <s:t>Nuk u gjet implementim për analizë semantike/embeddings, AI image generation ose golden-eval harness sipas task-ut.</s:t>
        </s:is>
      </s:c>
      <s:c r="AA67" s="55" t="inlineStr">
        <s:is>
          <s:t>1. Krijo adapter image edit/generate me model/config të fiksuar, kontroll pronësie të inputs, buxhet dhe ingest privat. Ruaj checksum/lineage me ai_run dhe assets prind; provo dështimet dhe output staging.</s:t>
        </s:is>
      </s:c>
      <s:c r="AB67" s="55" t="inlineStr">
        <s:is>
          <s:t>Prova e kërkuar nga backlog-u: Mock + controlled staging image tests
Kriteri për t'u verifikuar (nuk deklarohet i kaluar): Generated asset has lineage/checksum; failures/budget limits typed; snapshot/version recorded; input ownership verified.
Pranimi kërkon edhe gate-et: RG-05,RG-06. Asnjë gate nuk është shënuar Passed nga ky audit.</s:t>
        </s:is>
      </s:c>
      <s:c r="AC67" s="55" t="inlineStr">
        <s:is>
          <s:t>U rishikuan kodi/artefaktet dhe u kërkua implementimi i kësaj detyre. Nuk ka provë të ekzekutuar specifike që mbyll të gjithë kriterin; kontrollet globale nuk e zëvendësojnë atë.</s:t>
        </s:is>
      </s:c>
      <s:c r="AD67" s="55" t="inlineStr">
        <s:is>
          <s:t>Nuk u gjet implementim specifik; shiko kriterin dhe hapat në AA/AB.</s:t>
        </s:is>
      </s:c>
      <s:c r="AE67" s="42" t="inlineStr">
        <s:is>
          <s:t>Pa filluar</s:t>
        </s:is>
      </s:c>
      <s:c r="AF67" s="42" t="inlineStr">
        <s:is>
          <s:t>Po</s:t>
        </s:is>
      </s:c>
      <s:c r="AG67" s="42" t="inlineStr">
        <s:is>
          <s:t>Po, pas implementimit</s:t>
        </s:is>
      </s:c>
      <s:c r="AH67" s="42" t="inlineStr">
        <s:is>
          <s:t>Krijo adapter image edit/generate me model/config të fiksuar, kontroll pronësie të inputs, buxhet dhe ingest privat. Ruaj checksum/lineage me ai_run dhe assets prind; provo dështimet dhe output staging.</s:t>
        </s:is>
      </s:c>
      <s:c r="AI67" s="42" t="inlineStr">
        <s:is>
          <s:t>docs/backlog-code-handoff-2026-09-08.json#S3-A09</s:t>
        </s:is>
      </s:c>
      <s:c r="AJ67" s="42" t="inlineStr">
        <s:is>
          <s:t>Programmer A / review: Programmer B</s:t>
        </s:is>
      </s:c>
    </s:row>
    <s:row r="68" ht="155.1" customHeight="1" s="48">
      <s:c r="A68" s="17" t="inlineStr">
        <s:is>
          <s:t>S3-A10</s:t>
        </s:is>
      </s:c>
      <s:c r="B68" s="18" t="inlineStr">
        <s:is>
          <s:t>S3</s:t>
        </s:is>
      </s:c>
      <s:c r="C68" s="18" t="inlineStr">
        <s:is>
          <s:t>AI Quality</s:t>
        </s:is>
      </s:c>
      <s:c r="D68" s="12" t="inlineStr">
        <s:is>
          <s:t>Build golden evaluation harness and thresholds</s:t>
        </s:is>
      </s:c>
      <s:c r="E68" s="13" t="inlineStr">
        <s:is>
          <s:t>Create vertical fixtures/rules for factuality, schema, brand terms, duplication, guardrails, cost/latency and promotion report.</s:t>
        </s:is>
      </s:c>
      <s:c r="F68" s="13" t="inlineStr">
        <s:is>
          <s:t>Prompt/model change CI can run eval; release fails threshold regression; report stores config and per-case outcome.</s:t>
        </s:is>
      </s:c>
      <s:c r="G68" s="18" t="inlineStr">
        <s:is>
          <s:t>S3-A02,S3-A03,S3-A04,S3-A08</s:t>
        </s:is>
      </s:c>
      <s:c r="H68" s="18" t="inlineStr">
        <s:is>
          <s:t>P0</s:t>
        </s:is>
      </s:c>
      <s:c r="I68" s="18" t="inlineStr">
        <s:is>
          <s:t>Programmer A</s:t>
        </s:is>
      </s:c>
      <s:c r="J68" s="18" t="inlineStr">
        <s:is>
          <s:t>Programmer B</s:t>
        </s:is>
      </s:c>
      <s:c r="K68" s="18" t="n">
        <s:v>9</s:v>
      </s:c>
      <s:c r="L68" s="30" t="inlineStr">
        <s:is>
          <s:t>Not Started</s:t>
        </s:is>
      </s:c>
      <s:c r="M68" s="13" t="inlineStr">
        <s:is>
          <s:t>Golden eval suite</s:t>
        </s:is>
      </s:c>
      <s:c r="N68" s="18" t="inlineStr">
        <s:is>
          <s:t>RG-06</s:t>
        </s:is>
      </s:c>
      <s:c r="O68" s="13" t="inlineStr">
        <s:is>
          <s:t>Adversarial prompt-injection/source cases included.</s:t>
        </s:is>
      </s:c>
      <s:c r="P68" s="18" t="inlineStr">
        <s:is>
          <s:t>ai eval framework</s:t>
        </s:is>
      </s:c>
      <s:c r="Q68" s="14">
        <s:f>INDEX('01_ROADMAP'!$C$5:$C$15,MATCH(B68,'01_ROADMAP'!$A$5:$A$15,0))</s:f>
        <s:v>46314.0</s:v>
      </s:c>
      <s:c r="R68" s="14">
        <s:f>INDEX('01_ROADMAP'!$D$5:$D$15,MATCH(B68,'01_ROADMAP'!$A$5:$A$15,0))</s:f>
        <s:v>46327.0</s:v>
      </s:c>
      <s:c r="S68" s="29" t="inlineStr">
        <s:is>
          <s:t>docs/backlog-deep-audit-2026-09-07.json#S3-A10</s:t>
        </s:is>
      </s:c>
      <s:c r="T68" s="13" t="inlineStr">
        <s:is>
          <s:t>AI</s:t>
        </s:is>
      </s:c>
      <s:c r="U68" s="13" t="inlineStr">
        <s:is>
          <s:t>AI Platform</s:t>
        </s:is>
      </s:c>
      <s:c r="V68" s="13" t="inlineStr">
        <s:is>
          <s:t>GA</s:t>
        </s:is>
      </s:c>
      <s:c r="W68" s="13" t="inlineStr">
        <s:is>
          <s:t>N/A / API-domain contract consumed by frontend where applicable.</s:t>
        </s:is>
      </s:c>
      <s:c r="X68" s="13" t="inlineStr">
        <s:is>
          <s:t>Acceptance Criteria + Test Evidence + Release Gate</s:t>
        </s:is>
      </s:c>
      <s:c r="Y68" s="57" t="inlineStr">
        <s:is>
          <s:t>Pa filluar</s:t>
        </s:is>
      </s:c>
      <s:c r="Z68" s="56" t="inlineStr">
        <s:is>
          <s:t>Nuk u gjet implementim për analizë semantike/embeddings, AI image generation ose golden-eval harness sipas task-ut.</s:t>
        </s:is>
      </s:c>
      <s:c r="AA68" s="56" t="inlineStr">
        <s:is>
          <s:t>1. Krijo dataset golden sipas vertikaleve, rregulla factuality/schema/brand/duplication/cost/latency dhe raport për çdo rast. Promotion CI duhet të refuzojë regresion ndaj threshold-eve të pranuara.</s:t>
        </s:is>
      </s:c>
      <s:c r="AB68" s="56" t="inlineStr">
        <s:is>
          <s:t>Prova e kërkuar nga backlog-u: Golden eval suite
Kriteri për t'u verifikuar (nuk deklarohet i kaluar): Prompt/model change CI can run eval; release fails threshold regression; report stores config and per-case outcome.
Pranimi kërkon edhe gate-et: RG-06. Asnjë gate nuk është shënuar Passed nga ky audit.</s:t>
        </s:is>
      </s:c>
      <s:c r="AC68" s="56" t="inlineStr">
        <s:is>
          <s:t>U rishikuan kodi/artefaktet dhe u kërkua implementimi i kësaj detyre. Nuk ka provë të ekzekutuar specifike që mbyll të gjithë kriterin; kontrollet globale nuk e zëvendësojnë atë.</s:t>
        </s:is>
      </s:c>
      <s:c r="AD68" s="56" t="inlineStr">
        <s:is>
          <s:t>Nuk u gjet implementim specifik; shiko kriterin dhe hapat në AA/AB.</s:t>
        </s:is>
      </s:c>
      <s:c r="AE68" s="42" t="inlineStr">
        <s:is>
          <s:t>Pa filluar</s:t>
        </s:is>
      </s:c>
      <s:c r="AF68" s="42" t="inlineStr">
        <s:is>
          <s:t>Po</s:t>
        </s:is>
      </s:c>
      <s:c r="AG68" s="42" t="inlineStr">
        <s:is>
          <s:t>Po, pas implementimit</s:t>
        </s:is>
      </s:c>
      <s:c r="AH68" s="42" t="inlineStr">
        <s:is>
          <s:t>Krijo dataset golden sipas vertikaleve, rregulla factuality/schema/brand/duplication/cost/latency dhe raport për çdo rast. Promotion CI duhet të refuzojë regresion ndaj threshold-eve të pranuara.</s:t>
        </s:is>
      </s:c>
      <s:c r="AI68" s="42" t="inlineStr">
        <s:is>
          <s:t>docs/backlog-code-handoff-2026-09-08.json#S3-A10</s:t>
        </s:is>
      </s:c>
      <s:c r="AJ68" s="42" t="inlineStr">
        <s:is>
          <s:t>Programmer A / review: Programmer B</s:t>
        </s:is>
      </s:c>
    </s:row>
    <s:row r="69" ht="201" customHeight="1" s="48">
      <s:c r="A69" s="17" t="inlineStr">
        <s:is>
          <s:t>S3-B01</s:t>
        </s:is>
      </s:c>
      <s:c r="B69" s="18" t="inlineStr">
        <s:is>
          <s:t>S3</s:t>
        </s:is>
      </s:c>
      <s:c r="C69" s="18" t="inlineStr">
        <s:is>
          <s:t>Content Studio</s:t>
        </s:is>
      </s:c>
      <s:c r="D69" s="12" t="inlineStr">
        <s:is>
          <s:t>Build Content Studio list/workspace</s:t>
        </s:is>
      </s:c>
      <s:c r="E69" s="13" t="inlineStr">
        <s:is>
          <s:t>Build Content Studio with Nuxt UI page/dashboard primitives, server pagination/filters, status badges, search, bulk-safe actions, empty/skeleton/error states and route-preserved filters.</s:t>
        </s:is>
      </s:c>
      <s:c r="F69" s="13" t="inlineStr">
        <s:is>
          <s:t>List/grid remains responsive and accessible; filters shareable/persistent as specified; no unbounded client fetch.</s:t>
        </s:is>
      </s:c>
      <s:c r="G69" s="18" t="inlineStr">
        <s:is>
          <s:t>S3-A07,S1-B07</s:t>
        </s:is>
      </s:c>
      <s:c r="H69" s="18" t="inlineStr">
        <s:is>
          <s:t>P0</s:t>
        </s:is>
      </s:c>
      <s:c r="I69" s="18" t="inlineStr">
        <s:is>
          <s:t>Programmer B</s:t>
        </s:is>
      </s:c>
      <s:c r="J69" s="18" t="inlineStr">
        <s:is>
          <s:t>Programmer A</s:t>
        </s:is>
      </s:c>
      <s:c r="K69" s="18" t="n">
        <s:v>9</s:v>
      </s:c>
      <s:c r="L69" s="28" t="inlineStr">
        <s:is>
          <s:t>In Progress</s:t>
        </s:is>
      </s:c>
      <s:c r="M69" s="13" t="inlineStr">
        <s:is>
          <s:t>Component + E2E navigation</s:t>
        </s:is>
      </s:c>
      <s:c r="N69" s="18" t="inlineStr">
        <s:is>
          <s:t>RG-14</s:t>
        </s:is>
      </s:c>
      <s:c r="O69" s="13" t="inlineStr">
        <s:is>
          <s:t>Scoped API only.</s:t>
        </s:is>
      </s:c>
      <s:c r="P69" s="18" t="inlineStr">
        <s:is>
          <s:t>Content Studio UI</s:t>
        </s:is>
      </s:c>
      <s:c r="Q69" s="14">
        <s:f>INDEX('01_ROADMAP'!$C$5:$C$15,MATCH(B69,'01_ROADMAP'!$A$5:$A$15,0))</s:f>
        <s:v>46314.0</s:v>
      </s:c>
      <s:c r="R69" s="14">
        <s:f>INDEX('01_ROADMAP'!$D$5:$D$15,MATCH(B69,'01_ROADMAP'!$A$5:$A$15,0))</s:f>
        <s:v>46327.0</s:v>
      </s:c>
      <s:c r="S69" s="29" t="inlineStr">
        <s:is>
          <s:t>docs/backlog-deep-audit-2026-09-07.json#S3-B01</s:t>
        </s:is>
      </s:c>
      <s:c r="T69" s="13" t="inlineStr">
        <s:is>
          <s:t>FRONTEND</s:t>
        </s:is>
      </s:c>
      <s:c r="U69" s="13" t="inlineStr">
        <s:is>
          <s:t>Content Studio</s:t>
        </s:is>
      </s:c>
      <s:c r="V69" s="13" t="inlineStr">
        <s:is>
          <s:t>GA</s:t>
        </s:is>
      </s:c>
      <s:c r="W69" s="13" t="inlineStr">
        <s:is>
          <s:t>See companion DOCX; use Nuxt UI primitives and shared design system for user-facing tasks.</s:t>
        </s:is>
      </s:c>
      <s:c r="X69" s="13" t="inlineStr">
        <s:is>
          <s:t>Acceptance Criteria + Test Evidence + Release Gate</s:t>
        </s:is>
      </s:c>
      <s:c r="Y69" s="54" t="inlineStr">
        <s:is>
          <s:t>Pjesërisht</s:t>
        </s:is>
      </s:c>
      <s:c r="Z69" s="55" t="inlineStr">
        <s:is>
          <s:t>Content list me status/channel/search, Nuxt UI dhe pagination të dukshme.</s:t>
        </s:is>
      </s:c>
      <s:c r="AA69" s="55" t="inlineStr">
        <s:is>
          <s:t>1. Workspace i plotë vjen në klient; server pagination/cursor dhe prova shkallëzimi/filter persistence mungojnë.
2. DA-09: Shto API të kufizuara për lista/kërkim dhe commands të veçanta për mutacione, me revision/idempotency dhe thumbnails sipas nevojës.
3. DA-17: Gjetja e testit është korrigjuar. Mbetet lokalizimi i emrave aksesues Next Page/Page 2 dhe prova hosted CI e task-eve përkatëse.</s:t>
        </s:is>
      </s:c>
      <s:c r="AB69" s="55" t="inlineStr">
        <s:is>
          <s:t>Prova e kërkuar nga backlog-u: Component + E2E navigation
Kriteri për t'u verifikuar (nuk deklarohet i kaluar): List/grid remains responsive and accessible; filters shareable/persistent as specified; no unbounded client fetch.
DA-09: Fixture 500+ asset dhe 1000 postime: mat bytes/p95/memorien; filtër/cursor nuk kalon tenant-in dhe ndryshimi i një postimi nuk rishkruan gjithë listën.
DA-17: Rerun live.spec.ts: 4/4 desktop/mobile, përfshirë pagination dhe axe në 7 faqe dashboard-i.
Pranimi kërkon edhe gate-et: RG-14. Asnjë gate nuk është shënuar Passed nga ky audit.</s:t>
        </s:is>
      </s:c>
      <s:c r="AC69" s="55"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69" s="55" t="inlineStr">
        <s:is>
          <s:t>apps/web/app/pages/app/[org]/[brand]/content/index.vue
apps/web/app/components/PostsTable.vue
apps/web/server/utils/workspaces.ts
apps/web/app/composables/usePagination.ts:12
apps/web/app/composables/useWorkspace.ts:27
apps/web/app/composables/useWorkspace.ts:54
apps/web/app/layouts/dashboard.vue:102
apps/web/tests/e2e/live.spec.ts:161
apps/web/app/components/ListPagination.vue:24
DA-09: Listat e postimeve/galerisë dhe kërkimi global ngarkojnë workspace-in e plotë; ruajtjet dërgojnë snapshot të plotë. Importet Meta kanë query pagination të veçantë. Prova me 13 postime kalon, por nuk është provë ngarkese.
DA-17: sibling-count=0/show-edges=false shfaq vetëm numrin aktual; testi kërkonte butonin 2. Selektori u ndryshua te Next Page pa hequr assertion-in 11–13 nga 13.</s:t>
        </s:is>
      </s:c>
      <s:c r="AE69" s="42" t="inlineStr">
        <s:is>
          <s:t>Pjesërisht — kërkon zhvillim</s:t>
        </s:is>
      </s:c>
      <s:c r="AF69" s="42" t="inlineStr">
        <s:is>
          <s:t>Po</s:t>
        </s:is>
      </s:c>
      <s:c r="AG69" s="42" t="inlineStr">
        <s:is>
          <s:t>Po — përzier me punë të jashtme</s:t>
        </s:is>
      </s:c>
      <s:c r="AH69" s="42" t="inlineStr">
        <s:is>
          <s:t>Workspace i plotë vjen në klient; server pagination/cursor dhe prova shkallëzimi/filter persistence mungojnë. 2.</s:t>
        </s:is>
      </s:c>
      <s:c r="AI69" s="42" t="inlineStr">
        <s:is>
          <s:t>docs/backlog-code-handoff-2026-09-08.json#S3-B01</s:t>
        </s:is>
      </s:c>
      <s:c r="AJ69" s="42" t="inlineStr">
        <s:is>
          <s:t>Programmer B / review: Programmer A</s:t>
        </s:is>
      </s:c>
    </s:row>
    <s:row r="70" ht="180" customHeight="1" s="48">
      <s:c r="A70" s="17" t="inlineStr">
        <s:is>
          <s:t>S3-B02</s:t>
        </s:is>
      </s:c>
      <s:c r="B70" s="18" t="inlineStr">
        <s:is>
          <s:t>S3</s:t>
        </s:is>
      </s:c>
      <s:c r="C70" s="18" t="inlineStr">
        <s:is>
          <s:t>Custom Content</s:t>
        </s:is>
      </s:c>
      <s:c r="D70" s="12" t="inlineStr">
        <s:is>
          <s:t>Build manual/custom post editor</s:t>
        </s:is>
      </s:c>
      <s:c r="E70" s="13" t="inlineStr">
        <s:is>
          <s:t>Build manual/custom post editor using Nuxt UI Editor where appropriate, autosave, unsaved-change protection, format/target selection, preview and deterministic text/logo controls.</s:t>
        </s:is>
      </s:c>
      <s:c r="F70" s="13" t="inlineStr">
        <s:is>
          <s:t>Draft survives refresh/fault; save conflict is explicit; invalid target/format combinations cannot be submitted.</s:t>
        </s:is>
      </s:c>
      <s:c r="G70" s="18" t="inlineStr">
        <s:is>
          <s:t>S3-A07,S1-B06</s:t>
        </s:is>
      </s:c>
      <s:c r="H70" s="18" t="inlineStr">
        <s:is>
          <s:t>P0</s:t>
        </s:is>
      </s:c>
      <s:c r="I70" s="18" t="inlineStr">
        <s:is>
          <s:t>Programmer B</s:t>
        </s:is>
      </s:c>
      <s:c r="J70" s="18" t="inlineStr">
        <s:is>
          <s:t>Programmer A</s:t>
        </s:is>
      </s:c>
      <s:c r="K70" s="18" t="n">
        <s:v>8</s:v>
      </s:c>
      <s:c r="L70" s="31" t="inlineStr">
        <s:is>
          <s:t>In Review</s:t>
        </s:is>
      </s:c>
      <s:c r="M70" s="13" t="inlineStr">
        <s:is>
          <s:t>E2E draft/version tests</s:t>
        </s:is>
      </s:c>
      <s:c r="N70" s="18" t="inlineStr">
        <s:is>
          <s:t>RG-06,RG-14</s:t>
        </s:is>
      </s:c>
      <s:c r="O70" s="13" t="inlineStr">
        <s:is>
          <s:t>Avoid free-text silently becoming verified fact.</s:t>
        </s:is>
      </s:c>
      <s:c r="P70" s="18" t="inlineStr">
        <s:is>
          <s:t>custom post editor</s:t>
        </s:is>
      </s:c>
      <s:c r="Q70" s="14">
        <s:f>INDEX('01_ROADMAP'!$C$5:$C$15,MATCH(B70,'01_ROADMAP'!$A$5:$A$15,0))</s:f>
        <s:v>46314.0</s:v>
      </s:c>
      <s:c r="R70" s="14">
        <s:f>INDEX('01_ROADMAP'!$D$5:$D$15,MATCH(B70,'01_ROADMAP'!$A$5:$A$15,0))</s:f>
        <s:v>46327.0</s:v>
      </s:c>
      <s:c r="S70" s="29" t="inlineStr">
        <s:is>
          <s:t>docs/backlog-partial-progress-2026-09-08.json#S3-B02</s:t>
        </s:is>
      </s:c>
      <s:c r="T70" s="13" t="inlineStr">
        <s:is>
          <s:t>BACKEND</s:t>
        </s:is>
      </s:c>
      <s:c r="U70" s="13" t="inlineStr">
        <s:is>
          <s:t>Content Studio</s:t>
        </s:is>
      </s:c>
      <s:c r="V70" s="13" t="inlineStr">
        <s:is>
          <s:t>GA</s:t>
        </s:is>
      </s:c>
      <s:c r="W70" s="13" t="inlineStr">
        <s:is>
          <s:t>See companion DOCX; use Nuxt UI primitives and shared design system for user-facing tasks.</s:t>
        </s:is>
      </s:c>
      <s:c r="X70" s="13" t="inlineStr">
        <s:is>
          <s:t>Acceptance Criteria + Test Evidence + Release Gate</s:t>
        </s:is>
      </s:c>
      <s:c r="Y70" s="58" t="inlineStr">
        <s:is>
          <s:t>Implementuar — në pranim</s:t>
        </s:is>
      </s:c>
      <s:c r="Z70" s="56" t="inlineStr">
        <s:is>
          <s:t>Editor-i ruan draftin në server, trajton conflict/version, përdor media private dhe preview Facebook/Instagram me raport natyral të njëjtë me asset-in. Kombinimet kanal/format lexohen nga registry i përbashkët.</s:t>
        </s:is>
      </s:c>
      <s:c r="AA70" s="56" t="inlineStr">
        <s:is>
          <s:t>Mbeten fault/browser matrix më e plotë, composer me më shumë se një asset dhe pranimi RG-06/RG-14.</s:t>
        </s:is>
      </s:c>
      <s:c r="AB70" s="56" t="inlineStr">
        <s:is>
          <s:t>Prova e kërkuar nga backlog-u: E2E draft/version tests
Kriteri për t'u verifikuar (nuk deklarohet i kaluar): Draft survives refresh/fault; save conflict is explicit; invalid target/format combinations cannot be submitted.
DA-16: Foto katrore/portrait/landscape në të dy kanalet: krahaso preview me dimensionet e asset-it të dërguar; golden render për composer kur zbatohet.
Pranimi kërkon edhe gate-et: RG-06,RG-14. Asnjë gate nuk është shënuar Passed nga ky audit.</s:t>
        </s:is>
      </s:c>
      <s:c r="AC70" s="56" t="inlineStr">
        <s:is>
          <s:t>Registry unit test, app/server types dhe approve/calendar E2E desktop/mobile kaluan.</s:t>
        </s:is>
      </s:c>
      <s:c r="AD70" s="56" t="inlineStr">
        <s:is>
          <s:t>apps/web/app/components/ContentEditor.vue
apps/web/app/components/ChannelPostPreview.vue
apps/web/shared/utils/content-formats.ts
apps/web/tests/unit/workspace.test.ts</s:t>
        </s:is>
      </s:c>
      <s:c r="AE70" s="42" t="inlineStr">
        <s:is>
          <s:t>Kryer në kod — pret pranim/gate</s:t>
        </s:is>
      </s:c>
      <s:c r="AF70" s="42" t="inlineStr">
        <s:is>
          <s:t>Jo për scope-in e rreshtit</s:t>
        </s:is>
      </s:c>
      <s:c r="AG70" s="42" t="inlineStr">
        <s:is>
          <s:t>Po</s:t>
        </s:is>
      </s:c>
      <s:c r="AH70" s="42" t="inlineStr">
        <s:is>
          <s:t>Mbeten fault/browser matrix më e plotë, composer me më shumë se një asset dhe pranimi RG-06/RG-14.</s:t>
        </s:is>
      </s:c>
      <s:c r="AI70" s="42" t="inlineStr">
        <s:is>
          <s:t>docs/backlog-code-handoff-2026-09-08.json#S3-B02</s:t>
        </s:is>
      </s:c>
      <s:c r="AJ70" s="42" t="inlineStr">
        <s:is>
          <s:t>Programmer B / review: Programmer A</s:t>
        </s:is>
      </s:c>
    </s:row>
    <s:row r="71" ht="155.1" customHeight="1" s="48">
      <s:c r="A71" s="17" t="inlineStr">
        <s:is>
          <s:t>S3-B03</s:t>
        </s:is>
      </s:c>
      <s:c r="B71" s="18" t="inlineStr">
        <s:is>
          <s:t>S3</s:t>
        </s:is>
      </s:c>
      <s:c r="C71" s="18" t="inlineStr">
        <s:is>
          <s:t>AI Creation UX</s:t>
        </s:is>
      </s:c>
      <s:c r="D71" s="12" t="inlineStr">
        <s:is>
          <s:t>Build generation request wizard</s:t>
        </s:is>
      </s:c>
      <s:c r="E71" s="13" t="inlineStr">
        <s:is>
          <s:t>Create goal/post-type/channel/tone/asset preference inputs using entitlement/Business Brain context and clear cost-credit estimate where applicable.</s:t>
        </s:is>
      </s:c>
      <s:c r="F71" s="13" t="inlineStr">
        <s:is>
          <s:t>Invalid/missing verified prerequisites explained; submit is idempotent against double click; job link returned.</s:t>
        </s:is>
      </s:c>
      <s:c r="G71" s="18" t="inlineStr">
        <s:is>
          <s:t>S3-A08,S1-A07</s:t>
        </s:is>
      </s:c>
      <s:c r="H71" s="18" t="inlineStr">
        <s:is>
          <s:t>P0</s:t>
        </s:is>
      </s:c>
      <s:c r="I71" s="18" t="inlineStr">
        <s:is>
          <s:t>Programmer B</s:t>
        </s:is>
      </s:c>
      <s:c r="J71" s="18" t="inlineStr">
        <s:is>
          <s:t>Programmer A</s:t>
        </s:is>
      </s:c>
      <s:c r="K71" s="18" t="n">
        <s:v>7</s:v>
      </s:c>
      <s:c r="L71" s="28" t="inlineStr">
        <s:is>
          <s:t>In Progress</s:t>
        </s:is>
      </s:c>
      <s:c r="M71" s="13" t="inlineStr">
        <s:is>
          <s:t>E2E generation submit/double-click</s:t>
        </s:is>
      </s:c>
      <s:c r="N71" s="18" t="inlineStr">
        <s:is>
          <s:t>RG-06,RG-08</s:t>
        </s:is>
      </s:c>
      <s:c r="O71" s="13" t="inlineStr">
        <s:is>
          <s:t>Server rechecks entitlements.</s:t>
        </s:is>
      </s:c>
      <s:c r="P71" s="18" t="inlineStr">
        <s:is>
          <s:t>generation request UI</s:t>
        </s:is>
      </s:c>
      <s:c r="Q71" s="14">
        <s:f>INDEX('01_ROADMAP'!$C$5:$C$15,MATCH(B71,'01_ROADMAP'!$A$5:$A$15,0))</s:f>
        <s:v>46314.0</s:v>
      </s:c>
      <s:c r="R71" s="14">
        <s:f>INDEX('01_ROADMAP'!$D$5:$D$15,MATCH(B71,'01_ROADMAP'!$A$5:$A$15,0))</s:f>
        <s:v>46327.0</s:v>
      </s:c>
      <s:c r="S71" s="29" t="inlineStr">
        <s:is>
          <s:t>docs/backlog-deep-audit-2026-09-07.json#S3-B03</s:t>
        </s:is>
      </s:c>
      <s:c r="T71" s="13" t="inlineStr">
        <s:is>
          <s:t>FRONTEND</s:t>
        </s:is>
      </s:c>
      <s:c r="U71" s="13" t="inlineStr">
        <s:is>
          <s:t>AI Platform</s:t>
        </s:is>
      </s:c>
      <s:c r="V71" s="13" t="inlineStr">
        <s:is>
          <s:t>GA</s:t>
        </s:is>
      </s:c>
      <s:c r="W71" s="13" t="inlineStr">
        <s:is>
          <s:t>See companion DOCX; use Nuxt UI primitives and shared design system for user-facing tasks.</s:t>
        </s:is>
      </s:c>
      <s:c r="X71" s="13" t="inlineStr">
        <s:is>
          <s:t>Acceptance Criteria + Test Evidence + Release Gate</s:t>
        </s:is>
      </s:c>
      <s:c r="Y71" s="54" t="inlineStr">
        <s:is>
          <s:t>Pjesërisht</s:t>
        </s:is>
      </s:c>
      <s:c r="Z71" s="55" t="inlineStr">
        <s:is>
          <s:t>CaptionAssistant pranon ide/kanal dhe ofron variante nga API, vetëm me kërkesë të përdoruesit.</s:t>
        </s:is>
      </s:c>
      <s:c r="AA71" s="55" t="inlineStr">
        <s:is>
          <s:t>1. Mungon wizard goal/tone/asset/credit estimate, durable job link dhe double-submit/generation staging tests.</s:t>
        </s:is>
      </s:c>
      <s:c r="AB71" s="55" t="inlineStr">
        <s:is>
          <s:t>Prova e kërkuar nga backlog-u: E2E generation submit/double-click
Kriteri për t'u verifikuar (nuk deklarohet i kaluar): Invalid/missing verified prerequisites explained; submit is idempotent against double click; job link returned.
Pranimi kërkon edhe gate-et: RG-06,RG-08. Asnjë gate nuk është shënuar Passed nga ky audit.</s:t>
        </s:is>
      </s:c>
      <s:c r="AC71" s="55" t="inlineStr">
        <s:is>
          <s:t>U rishikuan kodi/artefaktet dhe u kërkua implementimi i kësaj detyre. Nuk ka provë të ekzekutuar specifike që mbyll të gjithë kriterin; kontrollet globale nuk e zëvendësojnë atë.</s:t>
        </s:is>
      </s:c>
      <s:c r="AD71" s="55" t="inlineStr">
        <s:is>
          <s:t>apps/web/app/components/CaptionAssistant.vue
apps/web/server/api/ai/captions.post.ts</s:t>
        </s:is>
      </s:c>
      <s:c r="AE71" s="42" t="inlineStr">
        <s:is>
          <s:t>Pjesërisht — kërkon zhvillim</s:t>
        </s:is>
      </s:c>
      <s:c r="AF71" s="42" t="inlineStr">
        <s:is>
          <s:t>Po</s:t>
        </s:is>
      </s:c>
      <s:c r="AG71" s="42" t="inlineStr">
        <s:is>
          <s:t>Po — përzier me punë të jashtme</s:t>
        </s:is>
      </s:c>
      <s:c r="AH71" s="42" t="inlineStr">
        <s:is>
          <s:t>Mungon wizard goal/tone/asset/credit estimate, durable job link dhe double-submit/generation staging tests.</s:t>
        </s:is>
      </s:c>
      <s:c r="AI71" s="42" t="inlineStr">
        <s:is>
          <s:t>docs/backlog-code-handoff-2026-09-08.json#S3-B03</s:t>
        </s:is>
      </s:c>
      <s:c r="AJ71" s="42" t="inlineStr">
        <s:is>
          <s:t>Programmer B / review: Programmer A</s:t>
        </s:is>
      </s:c>
    </s:row>
    <s:row r="72" ht="155.1" customHeight="1" s="48">
      <s:c r="A72" s="17" t="inlineStr">
        <s:is>
          <s:t>S3-B04</s:t>
        </s:is>
      </s:c>
      <s:c r="B72" s="18" t="inlineStr">
        <s:is>
          <s:t>S3</s:t>
        </s:is>
      </s:c>
      <s:c r="C72" s="18" t="inlineStr">
        <s:is>
          <s:t>AI Job UX</s:t>
        </s:is>
      </s:c>
      <s:c r="D72" s="12" t="inlineStr">
        <s:is>
          <s:t>Build durable generation status experience</s:t>
        </s:is>
      </s:c>
      <s:c r="E72" s="13" t="inlineStr">
        <s:is>
          <s:t>Show queued/running stage/progress/completed/failed/retry states via polling/realtime optimization, surviving refresh.</s:t>
        </s:is>
      </s:c>
      <s:c r="F72" s="13" t="inlineStr">
        <s:is>
          <s:t>Refresh resumes from job resource; terminal error has safe remediation; duplicate retry prevented.</s:t>
        </s:is>
      </s:c>
      <s:c r="G72" s="18" t="inlineStr">
        <s:is>
          <s:t>S3-A08,S1-B07</s:t>
        </s:is>
      </s:c>
      <s:c r="H72" s="18" t="inlineStr">
        <s:is>
          <s:t>P0</s:t>
        </s:is>
      </s:c>
      <s:c r="I72" s="18" t="inlineStr">
        <s:is>
          <s:t>Programmer B</s:t>
        </s:is>
      </s:c>
      <s:c r="J72" s="18" t="inlineStr">
        <s:is>
          <s:t>Programmer A</s:t>
        </s:is>
      </s:c>
      <s:c r="K72" s="18" t="n">
        <s:v>6</s:v>
      </s:c>
      <s:c r="L72" s="28" t="inlineStr">
        <s:is>
          <s:t>In Progress</s:t>
        </s:is>
      </s:c>
      <s:c r="M72" s="13" t="inlineStr">
        <s:is>
          <s:t>E2E job state fixtures</s:t>
        </s:is>
      </s:c>
      <s:c r="N72" s="18" t="inlineStr">
        <s:is>
          <s:t>RG-14</s:t>
        </s:is>
      </s:c>
      <s:c r="O72" s="13" t="inlineStr">
        <s:is>
          <s:t>No raw model/provider error text.</s:t>
        </s:is>
      </s:c>
      <s:c r="P72" s="18" t="inlineStr">
        <s:is>
          <s:t>generation job status UI</s:t>
        </s:is>
      </s:c>
      <s:c r="Q72" s="14">
        <s:f>INDEX('01_ROADMAP'!$C$5:$C$15,MATCH(B72,'01_ROADMAP'!$A$5:$A$15,0))</s:f>
        <s:v>46314.0</s:v>
      </s:c>
      <s:c r="R72" s="14">
        <s:f>INDEX('01_ROADMAP'!$D$5:$D$15,MATCH(B72,'01_ROADMAP'!$A$5:$A$15,0))</s:f>
        <s:v>46327.0</s:v>
      </s:c>
      <s:c r="S72" s="29" t="inlineStr">
        <s:is>
          <s:t>docs/backlog-deep-audit-2026-09-07.json#S3-B04</s:t>
        </s:is>
      </s:c>
      <s:c r="T72" s="13" t="inlineStr">
        <s:is>
          <s:t>FRONTEND</s:t>
        </s:is>
      </s:c>
      <s:c r="U72" s="13" t="inlineStr">
        <s:is>
          <s:t>AI Platform</s:t>
        </s:is>
      </s:c>
      <s:c r="V72" s="13" t="inlineStr">
        <s:is>
          <s:t>GA</s:t>
        </s:is>
      </s:c>
      <s:c r="W72" s="13" t="inlineStr">
        <s:is>
          <s:t>See companion DOCX; use Nuxt UI primitives and shared design system for user-facing tasks.</s:t>
        </s:is>
      </s:c>
      <s:c r="X72" s="13" t="inlineStr">
        <s:is>
          <s:t>Acceptance Criteria + Test Evidence + Release Gate</s:t>
        </s:is>
      </s:c>
      <s:c r="Y72" s="54" t="inlineStr">
        <s:is>
          <s:t>Pjesërisht</s:t>
        </s:is>
      </s:c>
      <s:c r="Z72" s="56" t="inlineStr">
        <s:is>
          <s:t>Asistenti shfaq loading/error dhe ruan tekstin nëse AI dështon.</s:t>
        </s:is>
      </s:c>
      <s:c r="AA72" s="56" t="inlineStr">
        <s:is>
          <s:t>1. Nuk ka endpoint/polling durable job/status sipas stage dhe resume pas refresh.</s:t>
        </s:is>
      </s:c>
      <s:c r="AB72" s="56" t="inlineStr">
        <s:is>
          <s:t>Prova e kërkuar nga backlog-u: E2E job state fixtures
Kriteri për t'u verifikuar (nuk deklarohet i kaluar): Refresh resumes from job resource; terminal error has safe remediation; duplicate retry prevented.
Pranimi kërkon edhe gate-et: RG-14. Asnjë gate nuk është shënuar Passed nga ky audit.</s:t>
        </s:is>
      </s:c>
      <s:c r="AC72" s="56" t="inlineStr">
        <s:is>
          <s:t>U rishikuan kodi/artefaktet dhe u kërkua implementimi i kësaj detyre. Nuk ka provë të ekzekutuar specifike që mbyll të gjithë kriterin; kontrollet globale nuk e zëvendësojnë atë.</s:t>
        </s:is>
      </s:c>
      <s:c r="AD72" s="56" t="inlineStr">
        <s:is>
          <s:t>apps/web/app/components/CaptionAssistant.vue</s:t>
        </s:is>
      </s:c>
      <s:c r="AE72" s="42" t="inlineStr">
        <s:is>
          <s:t>Pjesërisht — kërkon zhvillim</s:t>
        </s:is>
      </s:c>
      <s:c r="AF72" s="42" t="inlineStr">
        <s:is>
          <s:t>Po</s:t>
        </s:is>
      </s:c>
      <s:c r="AG72" s="42" t="inlineStr">
        <s:is>
          <s:t>Po, pas implementimit</s:t>
        </s:is>
      </s:c>
      <s:c r="AH72" s="42" t="inlineStr">
        <s:is>
          <s:t>Nuk ka endpoint/polling durable job/status sipas stage dhe resume pas refresh.</s:t>
        </s:is>
      </s:c>
      <s:c r="AI72" s="42" t="inlineStr">
        <s:is>
          <s:t>docs/backlog-code-handoff-2026-09-08.json#S3-B04</s:t>
        </s:is>
      </s:c>
      <s:c r="AJ72" s="42" t="inlineStr">
        <s:is>
          <s:t>Programmer B / review: Programmer A</s:t>
        </s:is>
      </s:c>
    </s:row>
    <s:row r="73" ht="155.1" customHeight="1" s="48">
      <s:c r="A73" s="17" t="inlineStr">
        <s:is>
          <s:t>S3-B05</s:t>
        </s:is>
      </s:c>
      <s:c r="B73" s="18" t="inlineStr">
        <s:is>
          <s:t>S3</s:t>
        </s:is>
      </s:c>
      <s:c r="C73" s="18" t="inlineStr">
        <s:is>
          <s:t>Asset Selection</s:t>
        </s:is>
      </s:c>
      <s:c r="D73" s="12" t="inlineStr">
        <s:is>
          <s:t>Build recommended asset picker</s:t>
        </s:is>
      </s:c>
      <s:c r="E73" s="13" t="inlineStr">
        <s:is>
          <s:t>Show AI/retrieval recommendations with why selected, filters, manual replacement, recent-use indicator and preview.</s:t>
        </s:is>
      </s:c>
      <s:c r="F73" s="13" t="inlineStr">
        <s:is>
          <s:t>Only brand assets selectable; user pin persists into generation spec; no selection when asset processing incomplete.</s:t>
        </s:is>
      </s:c>
      <s:c r="G73" s="18" t="inlineStr">
        <s:is>
          <s:t>S3-A06,S2-B01</s:t>
        </s:is>
      </s:c>
      <s:c r="H73" s="18" t="inlineStr">
        <s:is>
          <s:t>P1</s:t>
        </s:is>
      </s:c>
      <s:c r="I73" s="18" t="inlineStr">
        <s:is>
          <s:t>Programmer B</s:t>
        </s:is>
      </s:c>
      <s:c r="J73" s="18" t="inlineStr">
        <s:is>
          <s:t>Programmer A</s:t>
        </s:is>
      </s:c>
      <s:c r="K73" s="18" t="n">
        <s:v>8</s:v>
      </s:c>
      <s:c r="L73" s="28" t="inlineStr">
        <s:is>
          <s:t>In Progress</s:t>
        </s:is>
      </s:c>
      <s:c r="M73" s="13" t="inlineStr">
        <s:is>
          <s:t>E2E asset selection cases</s:t>
        </s:is>
      </s:c>
      <s:c r="N73" s="18" t="inlineStr">
        <s:is>
          <s:t>RG-05,RG-14</s:t>
        </s:is>
      </s:c>
      <s:c r="O73" s="13" t="inlineStr">
        <s:is>
          <s:t>Reference ownership enforced server-side.</s:t>
        </s:is>
      </s:c>
      <s:c r="P73" s="18" t="inlineStr">
        <s:is>
          <s:t>asset picker</s:t>
        </s:is>
      </s:c>
      <s:c r="Q73" s="14">
        <s:f>INDEX('01_ROADMAP'!$C$5:$C$15,MATCH(B73,'01_ROADMAP'!$A$5:$A$15,0))</s:f>
        <s:v>46314.0</s:v>
      </s:c>
      <s:c r="R73" s="14">
        <s:f>INDEX('01_ROADMAP'!$D$5:$D$15,MATCH(B73,'01_ROADMAP'!$A$5:$A$15,0))</s:f>
        <s:v>46327.0</s:v>
      </s:c>
      <s:c r="S73" s="29" t="inlineStr">
        <s:is>
          <s:t>docs/backlog-deep-audit-2026-09-07.json#S3-B05</s:t>
        </s:is>
      </s:c>
      <s:c r="T73" s="13" t="inlineStr">
        <s:is>
          <s:t>MEDIA</s:t>
        </s:is>
      </s:c>
      <s:c r="U73" s="13" t="inlineStr">
        <s:is>
          <s:t>Gallery</s:t>
        </s:is>
      </s:c>
      <s:c r="V73" s="13" t="inlineStr">
        <s:is>
          <s:t>GA</s:t>
        </s:is>
      </s:c>
      <s:c r="W73" s="13" t="inlineStr">
        <s:is>
          <s:t>See companion DOCX; use Nuxt UI primitives and shared design system for user-facing tasks.</s:t>
        </s:is>
      </s:c>
      <s:c r="X73" s="13" t="inlineStr">
        <s:is>
          <s:t>Acceptance Criteria + Test Evidence + Release Gate</s:t>
        </s:is>
      </s:c>
      <s:c r="Y73" s="54" t="inlineStr">
        <s:is>
          <s:t>Pjesërisht</s:t>
        </s:is>
      </s:c>
      <s:c r="Z73" s="55" t="inlineStr">
        <s:is>
          <s:t>Zgjedhje manuale vetëm e fotove të biznesit me rights; preview dhe zëvendësim.</s:t>
        </s:is>
      </s:c>
      <s:c r="AA73" s="55" t="inlineStr">
        <s:is>
          <s:t>1. Mungojnë AI/retrieval recommendations, why-selected, usage recency dhe pinned generation spec.</s:t>
        </s:is>
      </s:c>
      <s:c r="AB73" s="55" t="inlineStr">
        <s:is>
          <s:t>Prova e kërkuar nga backlog-u: E2E asset selection cases
Kriteri për t'u verifikuar (nuk deklarohet i kaluar): Only brand assets selectable; user pin persists into generation spec; no selection when asset processing incomplete.
Pranimi kërkon edhe gate-et: RG-05,RG-14. Asnjë gate nuk është shënuar Passed nga ky audit.</s:t>
        </s:is>
      </s:c>
      <s:c r="AC73" s="55" t="inlineStr">
        <s:is>
          <s:t>U rishikuan kodi/artefaktet dhe u kërkua implementimi i kësaj detyre. Nuk ka provë të ekzekutuar specifike që mbyll të gjithë kriterin; kontrollet globale nuk e zëvendësojnë atë.</s:t>
        </s:is>
      </s:c>
      <s:c r="AD73" s="55" t="inlineStr">
        <s:is>
          <s:t>apps/web/app/components/ContentEditor.vue</s:t>
        </s:is>
      </s:c>
      <s:c r="AE73" s="42" t="inlineStr">
        <s:is>
          <s:t>Pjesërisht — kërkon zhvillim</s:t>
        </s:is>
      </s:c>
      <s:c r="AF73" s="42" t="inlineStr">
        <s:is>
          <s:t>Po</s:t>
        </s:is>
      </s:c>
      <s:c r="AG73" s="42" t="inlineStr">
        <s:is>
          <s:t>Po, pas implementimit</s:t>
        </s:is>
      </s:c>
      <s:c r="AH73" s="42" t="inlineStr">
        <s:is>
          <s:t>Mungojnë AI/retrieval recommendations, why-selected, usage recency dhe pinned generation spec.</s:t>
        </s:is>
      </s:c>
      <s:c r="AI73" s="42" t="inlineStr">
        <s:is>
          <s:t>docs/backlog-code-handoff-2026-09-08.json#S3-B05</s:t>
        </s:is>
      </s:c>
      <s:c r="AJ73" s="42" t="inlineStr">
        <s:is>
          <s:t>Programmer B / review: Programmer A</s:t>
        </s:is>
      </s:c>
    </s:row>
    <s:row r="74" ht="180" customHeight="1" s="48">
      <s:c r="A74" s="17" t="inlineStr">
        <s:is>
          <s:t>S3-B06</s:t>
        </s:is>
      </s:c>
      <s:c r="B74" s="18" t="inlineStr">
        <s:is>
          <s:t>S3</s:t>
        </s:is>
      </s:c>
      <s:c r="C74" s="18" t="inlineStr">
        <s:is>
          <s:t>Content Review</s:t>
        </s:is>
      </s:c>
      <s:c r="D74" s="12" t="inlineStr">
        <s:is>
          <s:t>Build variant comparison and version history</s:t>
        </s:is>
      </s:c>
      <s:c r="E74" s="13" t="inlineStr">
        <s:is>
          <s:t>Present caption/creative variants side-by-side, QA flags, diff/version metadata and choose-as-current action.</s:t>
        </s:is>
      </s:c>
      <s:c r="F74" s="13" t="inlineStr">
        <s:is>
          <s:t>Choosing variant creates/sets intended version without mutating old one; mobile comparison degrades gracefully.</s:t>
        </s:is>
      </s:c>
      <s:c r="G74" s="18" t="inlineStr">
        <s:is>
          <s:t>S3-A07,S3-A08</s:t>
        </s:is>
      </s:c>
      <s:c r="H74" s="18" t="inlineStr">
        <s:is>
          <s:t>P0</s:t>
        </s:is>
      </s:c>
      <s:c r="I74" s="18" t="inlineStr">
        <s:is>
          <s:t>Programmer B</s:t>
        </s:is>
      </s:c>
      <s:c r="J74" s="18" t="inlineStr">
        <s:is>
          <s:t>Programmer A</s:t>
        </s:is>
      </s:c>
      <s:c r="K74" s="18" t="n">
        <s:v>7</s:v>
      </s:c>
      <s:c r="L74" s="28" t="inlineStr">
        <s:is>
          <s:t>In Progress</s:t>
        </s:is>
      </s:c>
      <s:c r="M74" s="13" t="inlineStr">
        <s:is>
          <s:t>Component/E2E version tests</s:t>
        </s:is>
      </s:c>
      <s:c r="N74" s="18" t="inlineStr">
        <s:is>
          <s:t>RG-06</s:t>
        </s:is>
      </s:c>
      <s:c r="O74" s="13" t="inlineStr">
        <s:is>
          <s:t>Provenance remains attached.</s:t>
        </s:is>
      </s:c>
      <s:c r="P74" s="18" t="inlineStr">
        <s:is>
          <s:t>variant/version UI</s:t>
        </s:is>
      </s:c>
      <s:c r="Q74" s="14">
        <s:f>INDEX('01_ROADMAP'!$C$5:$C$15,MATCH(B74,'01_ROADMAP'!$A$5:$A$15,0))</s:f>
        <s:v>46314.0</s:v>
      </s:c>
      <s:c r="R74" s="14">
        <s:f>INDEX('01_ROADMAP'!$D$5:$D$15,MATCH(B74,'01_ROADMAP'!$A$5:$A$15,0))</s:f>
        <s:v>46327.0</s:v>
      </s:c>
      <s:c r="S74" s="29" t="inlineStr">
        <s:is>
          <s:t>docs/backlog-partial-progress-2026-09-08.json#S3-B06</s:t>
        </s:is>
      </s:c>
      <s:c r="T74" s="13" t="inlineStr">
        <s:is>
          <s:t>BACKEND</s:t>
        </s:is>
      </s:c>
      <s:c r="U74" s="13" t="inlineStr">
        <s:is>
          <s:t>Content Studio</s:t>
        </s:is>
      </s:c>
      <s:c r="V74" s="13" t="inlineStr">
        <s:is>
          <s:t>GA</s:t>
        </s:is>
      </s:c>
      <s:c r="W74" s="13" t="inlineStr">
        <s:is>
          <s:t>See companion DOCX; use Nuxt UI primitives and shared design system for user-facing tasks.</s:t>
        </s:is>
      </s:c>
      <s:c r="X74" s="13" t="inlineStr">
        <s:is>
          <s:t>Acceptance Criteria + Test Evidence + Release Gate</s:t>
        </s:is>
      </s:c>
      <s:c r="Y74" s="54" t="inlineStr">
        <s:is>
          <s:t>Pjesërisht</s:t>
        </s:is>
      </s:c>
      <s:c r="Z74" s="56" t="inlineStr">
        <s:is>
          <s:t>Backend-i ruan snapshot të plotë immutable për çdo edit të ri; historia caption ekzistuese nuk muton versionin e vjetër.</s:t>
        </s:is>
      </s:c>
      <s:c r="AA74" s="56" t="inlineStr">
        <s:is>
          <s:t>Mbeten UI diff/side-by-side për tekst/foto/kanal, provenance e dukshme, zgjedhje varianti dhe E2E mobile comparison.</s:t>
        </s:is>
      </s:c>
      <s:c r="AB74" s="56" t="inlineStr">
        <s:is>
          <s:t>Prova e kërkuar nga backlog-u: Component/E2E version tests
Kriteri për t'u verifikuar (nuk deklarohet i kaluar): Choosing variant creates/sets intended version without mutating old one; mobile comparison degrades gracefully.
DA-07: Ndrysho fotografi/tekst/kanal pas miratimit; versioni i vjetër mbetet identik dhe approval i vjetër nuk autorizon versionin e ri; provo konkurencën.
Pranimi kërkon edhe gate-et: RG-06. Asnjë gate nuk është shënuar Passed nga ky audit.</s:t>
        </s:is>
      </s:c>
      <s:c r="AC74" s="56" t="inlineStr">
        <s:is>
          <s:t>DB immutability test kaloi; component/E2E comparison nuk ekziston.</s:t>
        </s:is>
      </s:c>
      <s:c r="AD74" s="56" t="inlineStr">
        <s:is>
          <s:t>apps/web/database/migrations/0009_immutable_content_versions.sql
apps/web/app/components/ContentEditor.vue</s:t>
        </s:is>
      </s:c>
      <s:c r="AE74" s="42" t="inlineStr">
        <s:is>
          <s:t>Pjesërisht — kërkon zhvillim</s:t>
        </s:is>
      </s:c>
      <s:c r="AF74" s="42" t="inlineStr">
        <s:is>
          <s:t>Po</s:t>
        </s:is>
      </s:c>
      <s:c r="AG74" s="42" t="inlineStr">
        <s:is>
          <s:t>Po, pas implementimit</s:t>
        </s:is>
      </s:c>
      <s:c r="AH74" s="42" t="inlineStr">
        <s:is>
          <s:t>Mbeten UI diff/side-by-side për tekst/foto/kanal, provenance e dukshme, zgjedhje varianti dhe E2E mobile comparison.</s:t>
        </s:is>
      </s:c>
      <s:c r="AI74" s="42" t="inlineStr">
        <s:is>
          <s:t>docs/backlog-code-handoff-2026-09-08.json#S3-B06</s:t>
        </s:is>
      </s:c>
      <s:c r="AJ74" s="42" t="inlineStr">
        <s:is>
          <s:t>Programmer B / review: Programmer A</s:t>
        </s:is>
      </s:c>
    </s:row>
    <s:row r="75" ht="159" customHeight="1" s="48">
      <s:c r="A75" s="17" t="inlineStr">
        <s:is>
          <s:t>S3-B07</s:t>
        </s:is>
      </s:c>
      <s:c r="B75" s="18" t="inlineStr">
        <s:is>
          <s:t>S3</s:t>
        </s:is>
      </s:c>
      <s:c r="C75" s="18" t="inlineStr">
        <s:is>
          <s:t>Creative Composer</s:t>
        </s:is>
      </s:c>
      <s:c r="D75" s="12" t="inlineStr">
        <s:is>
          <s:t>Implement deterministic social creative composer</s:t>
        </s:is>
      </s:c>
      <s:c r="E75" s="13" t="inlineStr">
        <s:is>
          <s:t>Build template/layout editor and server/client rendering contract for exact logo, verified price/text, CTA, safe areas and export spec.</s:t>
        </s:is>
      </s:c>
      <s:c r="F75" s="13" t="inlineStr">
        <s:is>
          <s:t>Same spec renders deterministic critical text/logo; no image-model text used for price/logo; aspect presets validated.</s:t>
        </s:is>
      </s:c>
      <s:c r="G75" s="18" t="inlineStr">
        <s:is>
          <s:t>S2-B04,S3-A09</s:t>
        </s:is>
      </s:c>
      <s:c r="H75" s="18" t="inlineStr">
        <s:is>
          <s:t>P0</s:t>
        </s:is>
      </s:c>
      <s:c r="I75" s="18" t="inlineStr">
        <s:is>
          <s:t>Programmer B</s:t>
        </s:is>
      </s:c>
      <s:c r="J75" s="18" t="inlineStr">
        <s:is>
          <s:t>Programmer A</s:t>
        </s:is>
      </s:c>
      <s:c r="K75" s="18" t="n">
        <s:v>10</s:v>
      </s:c>
      <s:c r="L75" s="30" t="inlineStr">
        <s:is>
          <s:t>Not Started</s:t>
        </s:is>
      </s:c>
      <s:c r="M75" s="13" t="inlineStr">
        <s:is>
          <s:t>Golden render snapshots + manual visual QA</s:t>
        </s:is>
      </s:c>
      <s:c r="N75" s="18" t="inlineStr">
        <s:is>
          <s:t>RG-05,RG-06</s:t>
        </s:is>
      </s:c>
      <s:c r="O75" s="13" t="inlineStr">
        <s:is>
          <s:t>Critical commercial text sourced from verified values.</s:t>
        </s:is>
      </s:c>
      <s:c r="P75" s="18" t="inlineStr">
        <s:is>
          <s:t>creative compositor</s:t>
        </s:is>
      </s:c>
      <s:c r="Q75" s="14">
        <s:f>INDEX('01_ROADMAP'!$C$5:$C$15,MATCH(B75,'01_ROADMAP'!$A$5:$A$15,0))</s:f>
        <s:v>46314.0</s:v>
      </s:c>
      <s:c r="R75" s="14">
        <s:f>INDEX('01_ROADMAP'!$D$5:$D$15,MATCH(B75,'01_ROADMAP'!$A$5:$A$15,0))</s:f>
        <s:v>46327.0</s:v>
      </s:c>
      <s:c r="S75" s="29" t="inlineStr">
        <s:is>
          <s:t>docs/backlog-deep-audit-2026-09-07.json#S3-B07</s:t>
        </s:is>
      </s:c>
      <s:c r="T75" s="13" t="inlineStr">
        <s:is>
          <s:t>BACKEND</s:t>
        </s:is>
      </s:c>
      <s:c r="U75" s="13" t="inlineStr">
        <s:is>
          <s:t>Content Studio</s:t>
        </s:is>
      </s:c>
      <s:c r="V75" s="13" t="inlineStr">
        <s:is>
          <s:t>GA</s:t>
        </s:is>
      </s:c>
      <s:c r="W75" s="13" t="inlineStr">
        <s:is>
          <s:t>See companion DOCX; use Nuxt UI primitives and shared design system for user-facing tasks.</s:t>
        </s:is>
      </s:c>
      <s:c r="X75" s="13" t="inlineStr">
        <s:is>
          <s:t>Acceptance Criteria + Test Evidence + Release Gate</s:t>
        </s:is>
      </s:c>
      <s:c r="Y75" s="57" t="inlineStr">
        <s:is>
          <s:t>Pa filluar</s:t>
        </s:is>
      </s:c>
      <s:c r="Z75" s="55" t="inlineStr">
        <s:is>
          <s:t>ChannelPreview paraqet një foto dhe caption në pamje Facebook/Instagram.</s:t>
        </s:is>
      </s:c>
      <s:c r="AA75" s="55" t="inlineStr">
        <s:is>
          <s:t>1. Nuk ka deterministic creative composer/export spec, exact business-logo/price/CTA render apo golden snapshots. Preview i rrjetit nuk është composer.
2. DA-16: Pasqyro raportin real të asset-it ose ruaj crop të qartë si variant që përdoret edhe në publikim; registry i formatit duhet të jetë burim i përbashkët.</s:t>
        </s:is>
      </s:c>
      <s:c r="AB75" s="55" t="inlineStr">
        <s:is>
          <s:t>Prova e kërkuar nga backlog-u: Golden render snapshots + manual visual QA
Kriteri për t'u verifikuar (nuk deklarohet i kaluar): Same spec renders deterministic critical text/logo; no image-model text used for price/logo; aspect presets validated.
DA-16: Foto katrore/portrait/landscape në të dy kanalet: krahaso preview me dimensionet e asset-it të dërguar; golden render për composer kur zbatohet.
Pranimi kërkon edhe gate-et: RG-05,RG-06. Asnjë gate nuk është shënuar Passed nga ky audit.</s:t>
        </s:is>
      </s:c>
      <s:c r="AC75" s="55" t="inlineStr">
        <s:is>
          <s:t>U rishikuan kodi/artefaktet dhe u kërkua implementimi i kësaj detyre. Nuk ka provë të ekzekutuar specifike që mbyll të gjithë kriterin; kontrollet globale nuk e zëvendësojnë atë.</s:t>
        </s:is>
      </s:c>
      <s:c r="AD75" s="55" t="inlineStr">
        <s:is>
          <s:t>apps/web/app/components/ChannelPreview.vue
apps/web/app/components/ChannelPreview.vue:35
apps/web/app/components/MediaImage.vue:29
apps/web/server/utils/publishing.ts
DA-16: Fotografia në preview shfaqet aspect-square/object-cover. Publikimi përdor asset-in origjinal të sanitizuar, pa crop të ruajtur nga kjo parapamje. Pamja mund të ndryshojë për foto drejtkëndore.</s:t>
        </s:is>
      </s:c>
      <s:c r="AE75" s="42" t="inlineStr">
        <s:is>
          <s:t>Pa filluar</s:t>
        </s:is>
      </s:c>
      <s:c r="AF75" s="42" t="inlineStr">
        <s:is>
          <s:t>Po</s:t>
        </s:is>
      </s:c>
      <s:c r="AG75" s="42" t="inlineStr">
        <s:is>
          <s:t>Po, pas implementimit</s:t>
        </s:is>
      </s:c>
      <s:c r="AH75" s="42" t="inlineStr">
        <s:is>
          <s:t>Nuk ka deterministic creative composer/export spec, exact business-logo/price/CTA render apo golden snapshots. Preview i rrjetit nuk është composer. 2.</s:t>
        </s:is>
      </s:c>
      <s:c r="AI75" s="42" t="inlineStr">
        <s:is>
          <s:t>docs/backlog-code-handoff-2026-09-08.json#S3-B07</s:t>
        </s:is>
      </s:c>
      <s:c r="AJ75" s="42" t="inlineStr">
        <s:is>
          <s:t>Programmer B / review: Programmer A</s:t>
        </s:is>
      </s:c>
    </s:row>
    <s:row r="76" ht="155.1" customHeight="1" s="48">
      <s:c r="A76" s="17" t="inlineStr">
        <s:is>
          <s:t>S3-B08</s:t>
        </s:is>
      </s:c>
      <s:c r="B76" s="18" t="inlineStr">
        <s:is>
          <s:t>S3</s:t>
        </s:is>
      </s:c>
      <s:c r="C76" s="18" t="inlineStr">
        <s:is>
          <s:t>Provenance UX</s:t>
        </s:is>
      </s:c>
      <s:c r="D76" s="12" t="inlineStr">
        <s:is>
          <s:t>Expose facts/assets/QA provenance in review</s:t>
        </s:is>
      </s:c>
      <s:c r="E76" s="13" t="inlineStr">
        <s:is>
          <s:t>Create review drawer showing verified fact refs, offer validity, asset lineage, AI/prompt run metadata at user-safe level and QA warnings.</s:t>
        </s:is>
      </s:c>
      <s:c r="F76" s="13" t="inlineStr">
        <s:is>
          <s:t>Reviewer can identify source for material commercial claim; expired offer warning blocks approval state later.</s:t>
        </s:is>
      </s:c>
      <s:c r="G76" s="18" t="inlineStr">
        <s:is>
          <s:t>S3-A05,S3-A08</s:t>
        </s:is>
      </s:c>
      <s:c r="H76" s="18" t="inlineStr">
        <s:is>
          <s:t>P1</s:t>
        </s:is>
      </s:c>
      <s:c r="I76" s="18" t="inlineStr">
        <s:is>
          <s:t>Programmer B</s:t>
        </s:is>
      </s:c>
      <s:c r="J76" s="18" t="inlineStr">
        <s:is>
          <s:t>Programmer A</s:t>
        </s:is>
      </s:c>
      <s:c r="K76" s="18" t="n">
        <s:v>7</s:v>
      </s:c>
      <s:c r="L76" s="28" t="inlineStr">
        <s:is>
          <s:t>In Progress</s:t>
        </s:is>
      </s:c>
      <s:c r="M76" s="13" t="inlineStr">
        <s:is>
          <s:t>Component/E2E provenance cases</s:t>
        </s:is>
      </s:c>
      <s:c r="N76" s="18" t="inlineStr">
        <s:is>
          <s:t>RG-06</s:t>
        </s:is>
      </s:c>
      <s:c r="O76" s="13" t="inlineStr">
        <s:is>
          <s:t>Do not expose internal secrets/system prompts.</s:t>
        </s:is>
      </s:c>
      <s:c r="P76" s="18" t="inlineStr">
        <s:is>
          <s:t>provenance review UI</s:t>
        </s:is>
      </s:c>
      <s:c r="Q76" s="14">
        <s:f>INDEX('01_ROADMAP'!$C$5:$C$15,MATCH(B76,'01_ROADMAP'!$A$5:$A$15,0))</s:f>
        <s:v>46314.0</s:v>
      </s:c>
      <s:c r="R76" s="14">
        <s:f>INDEX('01_ROADMAP'!$D$5:$D$15,MATCH(B76,'01_ROADMAP'!$A$5:$A$15,0))</s:f>
        <s:v>46327.0</s:v>
      </s:c>
      <s:c r="S76" s="29" t="inlineStr">
        <s:is>
          <s:t>docs/backlog-deep-audit-2026-09-07.json#S3-B08</s:t>
        </s:is>
      </s:c>
      <s:c r="T76" s="13" t="inlineStr">
        <s:is>
          <s:t>FRONTEND</s:t>
        </s:is>
      </s:c>
      <s:c r="U76" s="13" t="inlineStr">
        <s:is>
          <s:t>Gallery</s:t>
        </s:is>
      </s:c>
      <s:c r="V76" s="13" t="inlineStr">
        <s:is>
          <s:t>GA</s:t>
        </s:is>
      </s:c>
      <s:c r="W76" s="13" t="inlineStr">
        <s:is>
          <s:t>See companion DOCX; use Nuxt UI primitives and shared design system for user-facing tasks.</s:t>
        </s:is>
      </s:c>
      <s:c r="X76" s="13" t="inlineStr">
        <s:is>
          <s:t>Acceptance Criteria + Test Evidence + Release Gate</s:t>
        </s:is>
      </s:c>
      <s:c r="Y76" s="54" t="inlineStr">
        <s:is>
          <s:t>Pjesërisht</s:t>
        </s:is>
      </s:c>
      <s:c r="Z76" s="56" t="inlineStr">
        <s:is>
          <s:t>Kontrollet lokale shfaqin text/image/rights/format, checklist manual dhe lidhje te facts.</s:t>
        </s:is>
      </s:c>
      <s:c r="AA76" s="56" t="inlineStr">
        <s:is>
          <s:t>1. Mungojnë claim-level fact refs, offer validity, asset lineage, prompt/run metadata dhe QA provenance drawer.</s:t>
        </s:is>
      </s:c>
      <s:c r="AB76" s="56" t="inlineStr">
        <s:is>
          <s:t>Prova e kërkuar nga backlog-u: Component/E2E provenance cases
Kriteri për t'u verifikuar (nuk deklarohet i kaluar): Reviewer can identify source for material commercial claim; expired offer warning blocks approval state later.
Pranimi kërkon edhe gate-et: RG-06. Asnjë gate nuk është shënuar Passed nga ky audit.</s:t>
        </s:is>
      </s:c>
      <s:c r="AC76" s="56" t="inlineStr">
        <s:is>
          <s:t>U rishikuan kodi/artefaktet dhe u kërkua implementimi i kësaj detyre. Nuk ka provë të ekzekutuar specifike që mbyll të gjithë kriterin; kontrollet globale nuk e zëvendësojnë atë.</s:t>
        </s:is>
      </s:c>
      <s:c r="AD76" s="56" t="inlineStr">
        <s:is>
          <s:t>apps/web/app/components/ContentEditor.vue
apps/web/server/utils/post-validation.ts</s:t>
        </s:is>
      </s:c>
      <s:c r="AE76" s="42" t="inlineStr">
        <s:is>
          <s:t>Pjesërisht — kërkon zhvillim</s:t>
        </s:is>
      </s:c>
      <s:c r="AF76" s="42" t="inlineStr">
        <s:is>
          <s:t>Po</s:t>
        </s:is>
      </s:c>
      <s:c r="AG76" s="42" t="inlineStr">
        <s:is>
          <s:t>Po, pas implementimit</s:t>
        </s:is>
      </s:c>
      <s:c r="AH76" s="42" t="inlineStr">
        <s:is>
          <s:t>Mungojnë claim-level fact refs, offer validity, asset lineage, prompt/run metadata dhe QA provenance drawer.</s:t>
        </s:is>
      </s:c>
      <s:c r="AI76" s="42" t="inlineStr">
        <s:is>
          <s:t>docs/backlog-code-handoff-2026-09-08.json#S3-B08</s:t>
        </s:is>
      </s:c>
      <s:c r="AJ76" s="42" t="inlineStr">
        <s:is>
          <s:t>Programmer B / review: Programmer A</s:t>
        </s:is>
      </s:c>
    </s:row>
    <s:row r="77" ht="155.1" customHeight="1" s="48">
      <s:c r="A77" s="17" t="inlineStr">
        <s:is>
          <s:t>S3-B09</s:t>
        </s:is>
      </s:c>
      <s:c r="B77" s="18" t="inlineStr">
        <s:is>
          <s:t>S3</s:t>
        </s:is>
      </s:c>
      <s:c r="C77" s="18" t="inlineStr">
        <s:is>
          <s:t>Revision UX</s:t>
        </s:is>
      </s:c>
      <s:c r="D77" s="12" t="inlineStr">
        <s:is>
          <s:t>Build reject/regenerate targeted controls</s:t>
        </s:is>
      </s:c>
      <s:c r="E77" s="13" t="inlineStr">
        <s:is>
          <s:t>Allow rewrite caption, replace asset, regenerate image, adjust CTA or full regenerate as distinct commands preserving history.</s:t>
        </s:is>
      </s:c>
      <s:c r="F77" s="13" t="inlineStr">
        <s:is>
          <s:t>Targeted action changes only intended fields; old version stays immutable; credit impact shown/validated.</s:t>
        </s:is>
      </s:c>
      <s:c r="G77" s="18" t="inlineStr">
        <s:is>
          <s:t>S3-B03,S3-B06,S3-B07</s:t>
        </s:is>
      </s:c>
      <s:c r="H77" s="18" t="inlineStr">
        <s:is>
          <s:t>P1</s:t>
        </s:is>
      </s:c>
      <s:c r="I77" s="18" t="inlineStr">
        <s:is>
          <s:t>Programmer B</s:t>
        </s:is>
      </s:c>
      <s:c r="J77" s="18" t="inlineStr">
        <s:is>
          <s:t>Programmer A</s:t>
        </s:is>
      </s:c>
      <s:c r="K77" s="18" t="n">
        <s:v>6</s:v>
      </s:c>
      <s:c r="L77" s="28" t="inlineStr">
        <s:is>
          <s:t>In Progress</s:t>
        </s:is>
      </s:c>
      <s:c r="M77" s="13" t="inlineStr">
        <s:is>
          <s:t>E2E targeted revision tests</s:t>
        </s:is>
      </s:c>
      <s:c r="N77" s="18" t="inlineStr">
        <s:is>
          <s:t>RG-06,RG-08</s:t>
        </s:is>
      </s:c>
      <s:c r="O77" s="13" t="inlineStr">
        <s:is>
          <s:t>Each AI action usage-accounted.</s:t>
        </s:is>
      </s:c>
      <s:c r="P77" s="18" t="inlineStr">
        <s:is>
          <s:t>revision controls</s:t>
        </s:is>
      </s:c>
      <s:c r="Q77" s="14">
        <s:f>INDEX('01_ROADMAP'!$C$5:$C$15,MATCH(B77,'01_ROADMAP'!$A$5:$A$15,0))</s:f>
        <s:v>46314.0</s:v>
      </s:c>
      <s:c r="R77" s="14">
        <s:f>INDEX('01_ROADMAP'!$D$5:$D$15,MATCH(B77,'01_ROADMAP'!$A$5:$A$15,0))</s:f>
        <s:v>46327.0</s:v>
      </s:c>
      <s:c r="S77" s="29" t="inlineStr">
        <s:is>
          <s:t>docs/backlog-deep-audit-2026-09-07.json#S3-B09</s:t>
        </s:is>
      </s:c>
      <s:c r="T77" s="13" t="inlineStr">
        <s:is>
          <s:t>FRONTEND</s:t>
        </s:is>
      </s:c>
      <s:c r="U77" s="13" t="inlineStr">
        <s:is>
          <s:t>Platform</s:t>
        </s:is>
      </s:c>
      <s:c r="V77" s="13" t="inlineStr">
        <s:is>
          <s:t>GA</s:t>
        </s:is>
      </s:c>
      <s:c r="W77" s="13" t="inlineStr">
        <s:is>
          <s:t>See companion DOCX; use Nuxt UI primitives and shared design system for user-facing tasks.</s:t>
        </s:is>
      </s:c>
      <s:c r="X77" s="13" t="inlineStr">
        <s:is>
          <s:t>Acceptance Criteria + Test Evidence + Release Gate</s:t>
        </s:is>
      </s:c>
      <s:c r="Y77" s="54" t="inlineStr">
        <s:is>
          <s:t>Pjesërisht</s:t>
        </s:is>
      </s:c>
      <s:c r="Z77" s="55" t="inlineStr">
        <s:is>
          <s:t>Caption AI apply dhe zëvendësim manual i fotos ruajnë ndryshime në draft/history.</s:t>
        </s:is>
      </s:c>
      <s:c r="AA77" s="55" t="inlineStr">
        <s:is>
          <s:t>1. Mungojnë typed targeted rewrite/regenerate-image/CTA commands, immutable full history dhe credit impact.</s:t>
        </s:is>
      </s:c>
      <s:c r="AB77" s="55" t="inlineStr">
        <s:is>
          <s:t>Prova e kërkuar nga backlog-u: E2E targeted revision tests
Kriteri për t'u verifikuar (nuk deklarohet i kaluar): Targeted action changes only intended fields; old version stays immutable; credit impact shown/validated.
Pranimi kërkon edhe gate-et: RG-06,RG-08. Asnjë gate nuk është shënuar Passed nga ky audit.</s:t>
        </s:is>
      </s:c>
      <s:c r="AC77" s="55" t="inlineStr">
        <s:is>
          <s:t>U rishikuan kodi/artefaktet dhe u kërkua implementimi i kësaj detyre. Nuk ka provë të ekzekutuar specifike që mbyll të gjithë kriterin; kontrollet globale nuk e zëvendësojnë atë.</s:t>
        </s:is>
      </s:c>
      <s:c r="AD77" s="55" t="inlineStr">
        <s:is>
          <s:t>apps/web/app/components/CaptionAssistant.vue
apps/web/app/components/ContentEditor.vue</s:t>
        </s:is>
      </s:c>
      <s:c r="AE77" s="42" t="inlineStr">
        <s:is>
          <s:t>Pjesërisht — kërkon zhvillim</s:t>
        </s:is>
      </s:c>
      <s:c r="AF77" s="42" t="inlineStr">
        <s:is>
          <s:t>Po</s:t>
        </s:is>
      </s:c>
      <s:c r="AG77" s="42" t="inlineStr">
        <s:is>
          <s:t>Po, pas implementimit</s:t>
        </s:is>
      </s:c>
      <s:c r="AH77" s="42" t="inlineStr">
        <s:is>
          <s:t>Mungojnë typed targeted rewrite/regenerate-image/CTA commands, immutable full history dhe credit impact.</s:t>
        </s:is>
      </s:c>
      <s:c r="AI77" s="42" t="inlineStr">
        <s:is>
          <s:t>docs/backlog-code-handoff-2026-09-08.json#S3-B09</s:t>
        </s:is>
      </s:c>
      <s:c r="AJ77" s="42" t="inlineStr">
        <s:is>
          <s:t>Programmer B / review: Programmer A</s:t>
        </s:is>
      </s:c>
    </s:row>
    <s:row r="78" ht="180" customHeight="1" s="48">
      <s:c r="A78" s="17" t="inlineStr">
        <s:is>
          <s:t>S4-A01</s:t>
        </s:is>
      </s:c>
      <s:c r="B78" s="18" t="inlineStr">
        <s:is>
          <s:t>S4</s:t>
        </s:is>
      </s:c>
      <s:c r="C78" s="18" t="inlineStr">
        <s:is>
          <s:t>Approval</s:t>
        </s:is>
      </s:c>
      <s:c r="D78" s="12" t="inlineStr">
        <s:is>
          <s:t>Implement approval state machine and policies</s:t>
        </s:is>
      </s:c>
      <s:c r="E78" s="13" t="inlineStr">
        <s:is>
          <s:t>Add approval records/policies and allowed transitions including approval invalidation on publishable version change.</s:t>
        </s:is>
      </s:c>
      <s:c r="F78" s="13" t="inlineStr">
        <s:is>
          <s:t>Only Approver capability can approve default policy; edited approved content requires re-approval; actions audited.</s:t>
        </s:is>
      </s:c>
      <s:c r="G78" s="18" t="inlineStr">
        <s:is>
          <s:t>S3-A07,S1-A03,S1-A08</s:t>
        </s:is>
      </s:c>
      <s:c r="H78" s="18" t="inlineStr">
        <s:is>
          <s:t>P0</s:t>
        </s:is>
      </s:c>
      <s:c r="I78" s="18" t="inlineStr">
        <s:is>
          <s:t>Programmer A</s:t>
        </s:is>
      </s:c>
      <s:c r="J78" s="18" t="inlineStr">
        <s:is>
          <s:t>Programmer B</s:t>
        </s:is>
      </s:c>
      <s:c r="K78" s="18" t="n">
        <s:v>7</s:v>
      </s:c>
      <s:c r="L78" s="28" t="inlineStr">
        <s:is>
          <s:t>In Progress</s:t>
        </s:is>
      </s:c>
      <s:c r="M78" s="13" t="inlineStr">
        <s:is>
          <s:t>State/role matrix tests</s:t>
        </s:is>
      </s:c>
      <s:c r="N78" s="18" t="inlineStr">
        <s:is>
          <s:t>RG-03,RG-07</s:t>
        </s:is>
      </s:c>
      <s:c r="O78" s="13" t="inlineStr">
        <s:is>
          <s:t>Approval invariant before schedule/publish.</s:t>
        </s:is>
      </s:c>
      <s:c r="P78" s="18" t="inlineStr">
        <s:is>
          <s:t>approval services</s:t>
        </s:is>
      </s:c>
      <s:c r="Q78" s="14">
        <s:f>INDEX('01_ROADMAP'!$C$5:$C$15,MATCH(B78,'01_ROADMAP'!$A$5:$A$15,0))</s:f>
        <s:v>46328.0</s:v>
      </s:c>
      <s:c r="R78" s="14">
        <s:f>INDEX('01_ROADMAP'!$D$5:$D$15,MATCH(B78,'01_ROADMAP'!$A$5:$A$15,0))</s:f>
        <s:v>46341.0</s:v>
      </s:c>
      <s:c r="S78" s="29" t="inlineStr">
        <s:is>
          <s:t>docs/backlog-partial-progress-2026-09-08.json#S4-A01</s:t>
        </s:is>
      </s:c>
      <s:c r="T78" s="13" t="inlineStr">
        <s:is>
          <s:t>BACKEND</s:t>
        </s:is>
      </s:c>
      <s:c r="U78" s="13" t="inlineStr">
        <s:is>
          <s:t>Platform</s:t>
        </s:is>
      </s:c>
      <s:c r="V78" s="13" t="inlineStr">
        <s:is>
          <s:t>GA</s:t>
        </s:is>
      </s:c>
      <s:c r="W78" s="13" t="inlineStr">
        <s:is>
          <s:t>N/A / API-domain contract consumed by frontend where applicable.</s:t>
        </s:is>
      </s:c>
      <s:c r="X78" s="13" t="inlineStr">
        <s:is>
          <s:t>Acceptance Criteria + Test Evidence + Release Gate</s:t>
        </s:is>
      </s:c>
      <s:c r="Y78" s="54" t="inlineStr">
        <s:is>
          <s:t>Pjesërisht</s:t>
        </s:is>
      </s:c>
      <s:c r="Z78" s="56" t="inlineStr">
        <s:is>
          <s:t>State machine, fresh validation dhe approval records immutable tani referojnë contentVersion/actor/fingerprint. Editi krijon version të ri pa miratimin e vjetër; re-open regjistrohet.</s:t>
        </s:is>
      </s:c>
      <s:c r="AA78" s="56" t="inlineStr">
        <s:is>
          <s:t>Mbeten roli/capability Approver, policy override me reason, role matrix dhe RG-03/RG-07.</s:t>
        </s:is>
      </s:c>
      <s:c r="AB78" s="56" t="inlineStr">
        <s:is>
          <s:t>Prova e kërkuar nga backlog-u: State/role matrix tests
Kriteri për t'u verifikuar (nuk deklarohet i kaluar): Only Approver capability can approve default policy; edited approved content requires re-approval; actions audited.
DA-07: Ndrysho fotografi/tekst/kanal pas miratimit; versioni i vjetër mbetet identik dhe approval i vjetër nuk autorizon versionin e ri; provo konkurencën.
Pranimi kërkon edhe gate-et: RG-03,RG-07. Asnjë gate nuk është shënuar Passed nga ky audit.</s:t>
        </s:is>
      </s:c>
      <s:c r="AC78" s="56" t="inlineStr">
        <s:is>
          <s:t>Integration test provon version-bound approval; E2E optional Meta provon review→approve për dy kanale.</s:t>
        </s:is>
      </s:c>
      <s:c r="AD78" s="56" t="inlineStr">
        <s:is>
          <s:t>apps/web/server/api/workspaces/[id].put.ts
apps/web/database/migrations/0009_immutable_content_versions.sql
apps/web/server/utils/post-validation.ts</s:t>
        </s:is>
      </s:c>
      <s:c r="AE78" s="42" t="inlineStr">
        <s:is>
          <s:t>Pjesërisht — kërkon zhvillim</s:t>
        </s:is>
      </s:c>
      <s:c r="AF78" s="42" t="inlineStr">
        <s:is>
          <s:t>Po</s:t>
        </s:is>
      </s:c>
      <s:c r="AG78" s="42" t="inlineStr">
        <s:is>
          <s:t>Po — përzier me punë të jashtme</s:t>
        </s:is>
      </s:c>
      <s:c r="AH78" s="42" t="inlineStr">
        <s:is>
          <s:t>Mbeten roli/capability Approver, policy override me reason, role matrix dhe RG-03/RG-07.</s:t>
        </s:is>
      </s:c>
      <s:c r="AI78" s="42" t="inlineStr">
        <s:is>
          <s:t>docs/backlog-code-handoff-2026-09-08.json#S4-A01</s:t>
        </s:is>
      </s:c>
      <s:c r="AJ78" s="42" t="inlineStr">
        <s:is>
          <s:t>Programmer A / review: Programmer B</s:t>
        </s:is>
      </s:c>
    </s:row>
    <s:row r="79" ht="155.1" customHeight="1" s="48">
      <s:c r="A79" s="17" t="inlineStr">
        <s:is>
          <s:t>S4-A02</s:t>
        </s:is>
      </s:c>
      <s:c r="B79" s="18" t="inlineStr">
        <s:is>
          <s:t>S4</s:t>
        </s:is>
      </s:c>
      <s:c r="C79" s="18" t="inlineStr">
        <s:is>
          <s:t>Scheduling</s:t>
        </s:is>
      </s:c>
      <s:c r="D79" s="12" t="inlineStr">
        <s:is>
          <s:t>Create scheduled publication domain/API</s:t>
        </s:is>
      </s:c>
      <s:c r="E79" s="13" t="inlineStr">
        <s:is>
          <s:t>Persist UTC schedule with business timezone and explicit publicationMode: manual (default) or automatic. Manual is calendar organization only; automatic creates a durable publication job only after explicit confirmation, active entitlement, provider validation and worker readiness.</s:t>
        </s:is>
      </s:c>
      <s:c r="F79" s="13" t="inlineStr">
        <s:is>
          <s:t>Cannot schedule an unapproved or invalid-content version. Manual calendar planning works without Meta, creates no publication job and may use dates beyond trial expiry while writes are entitled. Automatic scheduling requires fresh publication-scope checks and an eligible account valid at run time. Cancel/reschedule/DST/uniqueness and duplicate-command tests pass.</s:t>
        </s:is>
      </s:c>
      <s:c r="G79" s="18" t="inlineStr">
        <s:is>
          <s:t>S4-A01,S2-A06</s:t>
        </s:is>
      </s:c>
      <s:c r="H79" s="18" t="inlineStr">
        <s:is>
          <s:t>P0</s:t>
        </s:is>
      </s:c>
      <s:c r="I79" s="18" t="inlineStr">
        <s:is>
          <s:t>Programmer A</s:t>
        </s:is>
      </s:c>
      <s:c r="J79" s="18" t="inlineStr">
        <s:is>
          <s:t>Programmer B</s:t>
        </s:is>
      </s:c>
      <s:c r="K79" s="18" t="n">
        <s:v>8</s:v>
      </s:c>
      <s:c r="L79" s="28" t="inlineStr">
        <s:is>
          <s:t>In Progress</s:t>
        </s:is>
      </s:c>
      <s:c r="M79" s="13" t="inlineStr">
        <s:is>
          <s:t>Timezone/idempotency/domain tests</s:t>
        </s:is>
      </s:c>
      <s:c r="N79" s="18" t="inlineStr">
        <s:is>
          <s:t>RG-07</s:t>
        </s:is>
      </s:c>
      <s:c r="O79" s="13" t="inlineStr">
        <s:is>
          <s:t>Targets same org/brand only.</s:t>
        </s:is>
      </s:c>
      <s:c r="P79" s="18" t="inlineStr">
        <s:is>
          <s:t>scheduling module</s:t>
        </s:is>
      </s:c>
      <s:c r="Q79" s="14">
        <s:f>INDEX('01_ROADMAP'!$C$5:$C$15,MATCH(B79,'01_ROADMAP'!$A$5:$A$15,0))</s:f>
        <s:v>46328.0</s:v>
      </s:c>
      <s:c r="R79" s="14">
        <s:f>INDEX('01_ROADMAP'!$D$5:$D$15,MATCH(B79,'01_ROADMAP'!$A$5:$A$15,0))</s:f>
        <s:v>46341.0</s:v>
      </s:c>
      <s:c r="S79" s="29" t="inlineStr">
        <s:is>
          <s:t>docs/backlog-deep-audit-2026-09-07.json#S4-A02</s:t>
        </s:is>
      </s:c>
      <s:c r="T79" s="13" t="inlineStr">
        <s:is>
          <s:t>BACKEND</s:t>
        </s:is>
      </s:c>
      <s:c r="U79" s="13" t="inlineStr">
        <s:is>
          <s:t>Calendar</s:t>
        </s:is>
      </s:c>
      <s:c r="V79" s="13" t="inlineStr">
        <s:is>
          <s:t>GA</s:t>
        </s:is>
      </s:c>
      <s:c r="W79" s="13" t="inlineStr">
        <s:is>
          <s:t>N/A / API-domain contract consumed by frontend where applicable.</s:t>
        </s:is>
      </s:c>
      <s:c r="X79" s="13" t="inlineStr">
        <s:is>
          <s:t>Acceptance Criteria + Test Evidence + Release Gate</s:t>
        </s:is>
      </s:c>
      <s:c r="Y79" s="54" t="inlineStr">
        <s:is>
          <s:t>Pjesërisht</s:t>
        </s:is>
      </s:c>
      <s:c r="Z79" s="55" t="inlineStr">
        <s:is>
          <s:t>Kalendari manual dhe publikimi automatic ruhen veçmas; dates UTC/timezone, approval guards, cancel dhe unique post/version jobs. Provat pa Meta kalojnë.</s:t>
        </s:is>
      </s:c>
      <s:c r="AA79" s="55" t="inlineStr">
        <s:is>
          <s:t>1. Mbeten schedule command idempotency/concurrency e plotë, target/API lifecycle dhe provider staging. Meta kërkohet vetëm për automatic, jo për kalendar manual.</s:t>
        </s:is>
      </s:c>
      <s:c r="AB79" s="55" t="inlineStr">
        <s:is>
          <s:t>Prova e kërkuar nga backlog-u: Timezone/idempotency/domain tests
Kriteri për t'u verifikuar (nuk deklarohet i kaluar): Cannot schedule an unapproved or invalid-content version. Manual calendar planning works without Meta, creates no publication job and may use dates beyond trial expiry while writes are entitled. Automatic scheduling requires fresh publication-scope checks and an eligible account valid at run time. Cancel/reschedule/DST/uniqueness and duplicate-command tests pass.
Pranimi kërkon edhe gate-et: RG-07. Asnjë gate nuk është shënuar Passed nga ky audit.</s:t>
        </s:is>
      </s:c>
      <s:c r="AC79" s="55" t="inlineStr">
        <s:is>
          <s:t>hq-deep-audit-unit.log + hq-deep-audit-registration-meta-e2e.log: transition guards, content/publication scope, manual calendar pa Meta, automatic explicit, DST utility. Nuk provon worker publish real ose Approver role matrix.</s:t>
        </s:is>
      </s:c>
      <s:c r="AD79" s="55" t="inlineStr">
        <s:is>
          <s:t>apps/web/server/api/workspaces/[id].put.ts
apps/web/database/migrations/0007_optional_meta_calendar.sql
apps/web/shared/utils/format.ts
hq-optional-e2e.log</s:t>
        </s:is>
      </s:c>
      <s:c r="AE79" s="42" t="inlineStr">
        <s:is>
          <s:t>Pjesërisht — kërkon zhvillim</s:t>
        </s:is>
      </s:c>
      <s:c r="AF79" s="42" t="inlineStr">
        <s:is>
          <s:t>Po</s:t>
        </s:is>
      </s:c>
      <s:c r="AG79" s="42" t="inlineStr">
        <s:is>
          <s:t>Po — përzier me punë të jashtme</s:t>
        </s:is>
      </s:c>
      <s:c r="AH79" s="42" t="inlineStr">
        <s:is>
          <s:t>Mbeten schedule command idempotency/concurrency e plotë, target/API lifecycle dhe provider staging. Meta kërkohet vetëm për automatic, jo për kalendar manual.</s:t>
        </s:is>
      </s:c>
      <s:c r="AI79" s="42" t="inlineStr">
        <s:is>
          <s:t>docs/backlog-code-handoff-2026-09-08.json#S4-A02</s:t>
        </s:is>
      </s:c>
      <s:c r="AJ79" s="42" t="inlineStr">
        <s:is>
          <s:t>Programmer A / review: Programmer B</s:t>
        </s:is>
      </s:c>
    </s:row>
    <s:row r="80" ht="180" customHeight="1" s="48">
      <s:c r="A80" s="17" t="inlineStr">
        <s:is>
          <s:t>S4-A03</s:t>
        </s:is>
      </s:c>
      <s:c r="B80" s="18" t="inlineStr">
        <s:is>
          <s:t>S4</s:t>
        </s:is>
      </s:c>
      <s:c r="C80" s="18" t="inlineStr">
        <s:is>
          <s:t>Publishing</s:t>
        </s:is>
      </s:c>
      <s:c r="D80" s="12" t="inlineStr">
        <s:is>
          <s:t>Implement due dispatcher from schedule to queue</s:t>
        </s:is>
      </s:c>
      <s:c r="E80" s="13" t="inlineStr">
        <s:is>
          <s:t>Create indexed due query/lock, transactional outbox enqueue and state transition SCHEDULED-&gt;QUEUED.</s:t>
        </s:is>
      </s:c>
      <s:c r="F80" s="13" t="inlineStr">
        <s:is>
          <s:t>Concurrent dispatchers enqueue one logical job; cancelled/block states skipped; queue age observable.</s:t>
        </s:is>
      </s:c>
      <s:c r="G80" s="18" t="inlineStr">
        <s:is>
          <s:t>S4-A02,S0-A08</s:t>
        </s:is>
      </s:c>
      <s:c r="H80" s="18" t="inlineStr">
        <s:is>
          <s:t>P0</s:t>
        </s:is>
      </s:c>
      <s:c r="I80" s="18" t="inlineStr">
        <s:is>
          <s:t>Programmer A</s:t>
        </s:is>
      </s:c>
      <s:c r="J80" s="18" t="inlineStr">
        <s:is>
          <s:t>Programmer B</s:t>
        </s:is>
      </s:c>
      <s:c r="K80" s="18" t="n">
        <s:v>8</s:v>
      </s:c>
      <s:c r="L80" s="28" t="inlineStr">
        <s:is>
          <s:t>In Progress</s:t>
        </s:is>
      </s:c>
      <s:c r="M80" s="13" t="inlineStr">
        <s:is>
          <s:t>Concurrent dispatcher integration test</s:t>
        </s:is>
      </s:c>
      <s:c r="N80" s="18" t="inlineStr">
        <s:is>
          <s:t>RG-07</s:t>
        </s:is>
      </s:c>
      <s:c r="O80" s="13" t="inlineStr">
        <s:is>
          <s:t>No direct provider call in scheduler transaction.</s:t>
        </s:is>
      </s:c>
      <s:c r="P80" s="18" t="inlineStr">
        <s:is>
          <s:t>publish dispatcher</s:t>
        </s:is>
      </s:c>
      <s:c r="Q80" s="14">
        <s:f>INDEX('01_ROADMAP'!$C$5:$C$15,MATCH(B80,'01_ROADMAP'!$A$5:$A$15,0))</s:f>
        <s:v>46328.0</s:v>
      </s:c>
      <s:c r="R80" s="14">
        <s:f>INDEX('01_ROADMAP'!$D$5:$D$15,MATCH(B80,'01_ROADMAP'!$A$5:$A$15,0))</s:f>
        <s:v>46341.0</s:v>
      </s:c>
      <s:c r="S80" s="29" t="inlineStr">
        <s:is>
          <s:t>docs/backlog-partial-progress-2026-09-08.json#S4-A03</s:t>
        </s:is>
      </s:c>
      <s:c r="T80" s="13" t="inlineStr">
        <s:is>
          <s:t>META</s:t>
        </s:is>
      </s:c>
      <s:c r="U80" s="13" t="inlineStr">
        <s:is>
          <s:t>Calendar</s:t>
        </s:is>
      </s:c>
      <s:c r="V80" s="13" t="inlineStr">
        <s:is>
          <s:t>GA</s:t>
        </s:is>
      </s:c>
      <s:c r="W80" s="13" t="inlineStr">
        <s:is>
          <s:t>N/A / API-domain contract consumed by frontend where applicable.</s:t>
        </s:is>
      </s:c>
      <s:c r="X80" s="13" t="inlineStr">
        <s:is>
          <s:t>Acceptance Criteria + Test Evidence + Release Gate</s:t>
        </s:is>
      </s:c>
      <s:c r="Y80" s="54" t="inlineStr">
        <s:is>
          <s:t>Pjesërisht</s:t>
        </s:is>
      </s:c>
      <s:c r="Z80" s="56" t="inlineStr">
        <s:is>
          <s:t>Dispatcher-i përdor SKIP LOCKED, fairness sipas punës due më të vjetër, batch 1–25 dhe poll 1–60s. Dy worker-a paralelë marrin vetëm një job dhe readiness raporton pendingJobs/oldestDueSeconds/heartbeat.</s:t>
        </s:is>
      </s:c>
      <s:c r="AA80" s="56" t="inlineStr">
        <s:is>
          <s:t>Mbeten burst/load test, outbox/dispatch proof, procesi i veçantë në deployment dhe alert/SLO për queue age.</s:t>
        </s:is>
      </s:c>
      <s:c r="AB80" s="56" t="inlineStr">
        <s:is>
          <s:t>Prova e kërkuar nga backlog-u: Concurrent dispatcher integration test
Kriteri për t'u verifikuar (nuk deklarohet i kaluar): Concurrent dispatchers enqueue one logical job; cancelled/block states skipped; queue age observable.
DA-02: Burst nga disa biznese në të njëjtin orar, dy worker-a, pa dyfishime ose uri të një biznesi; mat vonesën ndaj objektivit të planifikuar.
Pranimi kërkon edhe gate-et: RG-07. Asnjë gate nuk është shënuar Passed nga ky audit.</s:t>
        </s:is>
      </s:c>
      <s:c r="AC80" s="56" t="inlineStr">
        <s:is>
          <s:t>Fixture-i PostgreSQL me dy worker-a paralelë kaloi me vetëm një shkrim provider; health readiness ktheu 200. Nuk ka burst benchmark.</s:t>
        </s:is>
      </s:c>
      <s:c r="AD80" s="56" t="inlineStr">
        <s:is>
          <s:t>apps/web/server/utils/publishing.ts
apps/web/server/plugins/publisher.ts
apps/web/server/api/health/ready.get.ts</s:t>
        </s:is>
      </s:c>
      <s:c r="AE80" s="42" t="inlineStr">
        <s:is>
          <s:t>Pjesërisht — kërkon zhvillim</s:t>
        </s:is>
      </s:c>
      <s:c r="AF80" s="42" t="inlineStr">
        <s:is>
          <s:t>Po</s:t>
        </s:is>
      </s:c>
      <s:c r="AG80" s="42" t="inlineStr">
        <s:is>
          <s:t>Po, pas implementimit</s:t>
        </s:is>
      </s:c>
      <s:c r="AH80" s="42" t="inlineStr">
        <s:is>
          <s:t>Mbeten burst/load test, outbox/dispatch proof, procesi i veçantë në deployment dhe alert/SLO për queue age.</s:t>
        </s:is>
      </s:c>
      <s:c r="AI80" s="42" t="inlineStr">
        <s:is>
          <s:t>docs/backlog-code-handoff-2026-09-08.json#S4-A03</s:t>
        </s:is>
      </s:c>
      <s:c r="AJ80" s="42" t="inlineStr">
        <s:is>
          <s:t>Programmer A / review: Programmer B</s:t>
        </s:is>
      </s:c>
    </s:row>
    <s:row r="81" ht="180" customHeight="1" s="48">
      <s:c r="A81" s="17" t="inlineStr">
        <s:is>
          <s:t>S4-A04</s:t>
        </s:is>
      </s:c>
      <s:c r="B81" s="18" t="inlineStr">
        <s:is>
          <s:t>S4</s:t>
        </s:is>
      </s:c>
      <s:c r="C81" s="18" t="inlineStr">
        <s:is>
          <s:t>Publishing</s:t>
        </s:is>
      </s:c>
      <s:c r="D81" s="12" t="inlineStr">
        <s:is>
          <s:t>Implement Meta publisher adapter</s:t>
        </s:is>
      </s:c>
      <s:c r="E81" s="13" t="inlineStr">
        <s:is>
          <s:t>Map approved content version/media to provider publishing flow, create short-lived media URL and persist request fingerprint/external ID.</s:t>
        </s:is>
      </s:c>
      <s:c r="F81" s="13" t="inlineStr">
        <s:is>
          <s:t>Successful staging publish creates one expected post; media URL expires; unsupported capability fails before remote call.</s:t>
        </s:is>
      </s:c>
      <s:c r="G81" s="18" t="inlineStr">
        <s:is>
          <s:t>S2-A04,S3-A07,S4-A03</s:t>
        </s:is>
      </s:c>
      <s:c r="H81" s="18" t="inlineStr">
        <s:is>
          <s:t>P0</s:t>
        </s:is>
      </s:c>
      <s:c r="I81" s="18" t="inlineStr">
        <s:is>
          <s:t>Programmer A</s:t>
        </s:is>
      </s:c>
      <s:c r="J81" s="18" t="inlineStr">
        <s:is>
          <s:t>Programmer B</s:t>
        </s:is>
      </s:c>
      <s:c r="K81" s="18" t="n">
        <s:v>11</s:v>
      </s:c>
      <s:c r="L81" s="28" t="inlineStr">
        <s:is>
          <s:t>In Review</s:t>
        </s:is>
      </s:c>
      <s:c r="M81" s="13" t="inlineStr">
        <s:is>
          <s:t>Meta test account publish + mocks</s:t>
        </s:is>
      </s:c>
      <s:c r="N81" s="18" t="inlineStr">
        <s:is>
          <s:t>RG-04,RG-07</s:t>
        </s:is>
      </s:c>
      <s:c r="O81" s="13" t="inlineStr">
        <s:is>
          <s:t>Short-lived public media only for provider fetch.</s:t>
        </s:is>
      </s:c>
      <s:c r="P81" s="18" t="inlineStr">
        <s:is>
          <s:t>Meta publisher</s:t>
        </s:is>
      </s:c>
      <s:c r="Q81" s="14">
        <s:f>INDEX('01_ROADMAP'!$C$5:$C$15,MATCH(B81,'01_ROADMAP'!$A$5:$A$15,0))</s:f>
        <s:v>46328.0</s:v>
      </s:c>
      <s:c r="R81" s="14">
        <s:f>INDEX('01_ROADMAP'!$D$5:$D$15,MATCH(B81,'01_ROADMAP'!$A$5:$A$15,0))</s:f>
        <s:v>46341.0</s:v>
      </s:c>
      <s:c r="S81" s="29" t="inlineStr">
        <s:is>
          <s:t>docs/backlog-partial-progress-2026-09-08.json#S4-A04</s:t>
        </s:is>
      </s:c>
      <s:c r="T81" s="13" t="inlineStr">
        <s:is>
          <s:t>META</s:t>
        </s:is>
      </s:c>
      <s:c r="U81" s="13" t="inlineStr">
        <s:is>
          <s:t>Integrations</s:t>
        </s:is>
      </s:c>
      <s:c r="V81" s="13" t="inlineStr">
        <s:is>
          <s:t>GA</s:t>
        </s:is>
      </s:c>
      <s:c r="W81" s="13" t="inlineStr">
        <s:is>
          <s:t>N/A / API-domain contract consumed by frontend where applicable.</s:t>
        </s:is>
      </s:c>
      <s:c r="X81" s="13" t="inlineStr">
        <s:is>
          <s:t>Acceptance Criteria + Test Evidence + Release Gate</s:t>
        </s:is>
      </s:c>
      <s:c r="Y81" s="54" t="inlineStr">
        <s:is>
          <s:t>Implementuar — në pranim</s:t>
        </s:is>
      </s:c>
      <s:c r="Z81" s="55" t="inlineStr">
        <s:is>
          <s:t>Instagram container_start ruhet veçmas nga schedule creation; timeout matet nga fillimi real. Publication job lidhet me contentVersion immutable. Provider fixture ekzekuton worker-in dhe verifikon vetëm një Facebook write.
Klasifikimi 2026-09-08: Facebook/Instagram publisher adapter dhe provider fixture janë implementuar; pret Meta staging proof.</s:t>
        </s:is>
      </s:c>
      <s:c r="AA81" s="55" t="inlineStr">
        <s:is>
          <s:t>Mbeten Meta staging publish me llogari të autorizuar, public HTTPS/media expiry live dhe matrica e plotë për Instagram/provider errors.</s:t>
        </s:is>
      </s:c>
      <s:c r="AB81" s="55" t="inlineStr">
        <s:is>
          <s:t>Prova e kërkuar nga backlog-u: Meta test account publish + mocks
Kriteri për t'u verifikuar (nuk deklarohet i kaluar): Successful staging publish creates one expected post; media URL expires; unsupported capability fails before remote call.
DA-01: Fixture: job i krijuar dje, container i krijuar tani, IN_PROGRESS pastaj FINISHED; publikim vetëm një herë. Provo veçmas skadimin real të container-it.
DA-14: Facebook dhe Instagram: sukses, 429, 5xx, crash, expired token, cancel, timeout-after-write dhe dy worker-a; arkivo provider IDs pa tokenë.
Pranimi kërkon edhe gate-et: RG-04,RG-07. Asnjë gate nuk është shënuar Passed nga ky audit.</s:t>
        </s:is>
      </s:c>
      <s:c r="AC81" s="55" t="inlineStr">
        <s:is>
          <s:t>Fixture-i worker/provider dhe testi 59/61 minuta kaluan. Asnjë postim real nuk u dërgua.</s:t>
        </s:is>
      </s:c>
      <s:c r="AD81" s="55" t="inlineStr">
        <s:is>
          <s:t>apps/web/database/migrations/0008_provider_reliability.sql
apps/web/server/utils/publishing.ts</s:t>
        </s:is>
      </s:c>
      <s:c r="AE81" s="42" t="inlineStr">
        <s:is>
          <s:t>Kryer në kod — pret pranim/gate</s:t>
        </s:is>
      </s:c>
      <s:c r="AF81" s="42" t="inlineStr">
        <s:is>
          <s:t>Jo për scope-in e rreshtit</s:t>
        </s:is>
      </s:c>
      <s:c r="AG81" s="42" t="inlineStr">
        <s:is>
          <s:t>Po</s:t>
        </s:is>
      </s:c>
      <s:c r="AH81" s="42" t="inlineStr">
        <s:is>
          <s:t>Mbeten Meta staging publish me llogari të autorizuar, public HTTPS/media expiry live dhe matrica e plotë për Instagram/provider errors.</s:t>
        </s:is>
      </s:c>
      <s:c r="AI81" s="42" t="inlineStr">
        <s:is>
          <s:t>docs/backlog-code-handoff-2026-09-08.json#S4-A04</s:t>
        </s:is>
      </s:c>
      <s:c r="AJ81" s="42" t="inlineStr">
        <s:is>
          <s:t>Programmer A / review: Programmer B</s:t>
        </s:is>
      </s:c>
    </s:row>
    <s:row r="82" ht="180" customHeight="1" s="48">
      <s:c r="A82" s="17" t="inlineStr">
        <s:is>
          <s:t>S4-A05</s:t>
        </s:is>
      </s:c>
      <s:c r="B82" s="18" t="inlineStr">
        <s:is>
          <s:t>S4</s:t>
        </s:is>
      </s:c>
      <s:c r="C82" s="18" t="inlineStr">
        <s:is>
          <s:t>Publishing</s:t>
        </s:is>
      </s:c>
      <s:c r="D82" s="12" t="inlineStr">
        <s:is>
          <s:t>Implement retry/backoff error taxonomy</s:t>
        </s:is>
      </s:c>
      <s:c r="E82" s="13" t="inlineStr">
        <s:is>
          <s:t>Map 429/5xx/network/media/auth/permission/validation errors to retryable/blocked/terminal states with jitter and attempt limits.</s:t>
        </s:is>
      </s:c>
      <s:c r="F82" s="13" t="inlineStr">
        <s:is>
          <s:t>Retry-After honored; revoked token never endless-retries; terminal error has stable code/remediation.</s:t>
        </s:is>
      </s:c>
      <s:c r="G82" s="18" t="inlineStr">
        <s:is>
          <s:t>S4-A04,S2-A04</s:t>
        </s:is>
      </s:c>
      <s:c r="H82" s="18" t="inlineStr">
        <s:is>
          <s:t>P0</s:t>
        </s:is>
      </s:c>
      <s:c r="I82" s="18" t="inlineStr">
        <s:is>
          <s:t>Programmer A</s:t>
        </s:is>
      </s:c>
      <s:c r="J82" s="18" t="inlineStr">
        <s:is>
          <s:t>Programmer B</s:t>
        </s:is>
      </s:c>
      <s:c r="K82" s="18" t="n">
        <s:v>7</s:v>
      </s:c>
      <s:c r="L82" s="28" t="inlineStr">
        <s:is>
          <s:t>In Review</s:t>
        </s:is>
      </s:c>
      <s:c r="M82" s="13" t="inlineStr">
        <s:is>
          <s:t>Fault fixtures for each class</s:t>
        </s:is>
      </s:c>
      <s:c r="N82" s="18" t="inlineStr">
        <s:is>
          <s:t>RG-07</s:t>
        </s:is>
      </s:c>
      <s:c r="O82" s="13" t="inlineStr">
        <s:is>
          <s:t>Prevents accidental provider abuse.</s:t>
        </s:is>
      </s:c>
      <s:c r="P82" s="18" t="inlineStr">
        <s:is>
          <s:t>publication retry policy</s:t>
        </s:is>
      </s:c>
      <s:c r="Q82" s="14">
        <s:f>INDEX('01_ROADMAP'!$C$5:$C$15,MATCH(B82,'01_ROADMAP'!$A$5:$A$15,0))</s:f>
        <s:v>46328.0</s:v>
      </s:c>
      <s:c r="R82" s="14">
        <s:f>INDEX('01_ROADMAP'!$D$5:$D$15,MATCH(B82,'01_ROADMAP'!$A$5:$A$15,0))</s:f>
        <s:v>46341.0</s:v>
      </s:c>
      <s:c r="S82" s="29" t="inlineStr">
        <s:is>
          <s:t>docs/backlog-partial-progress-2026-09-08.json#S4-A05</s:t>
        </s:is>
      </s:c>
      <s:c r="T82" s="13" t="inlineStr">
        <s:is>
          <s:t>META</s:t>
        </s:is>
      </s:c>
      <s:c r="U82" s="13" t="inlineStr">
        <s:is>
          <s:t>Publishing</s:t>
        </s:is>
      </s:c>
      <s:c r="V82" s="13" t="inlineStr">
        <s:is>
          <s:t>GA</s:t>
        </s:is>
      </s:c>
      <s:c r="W82" s="13" t="inlineStr">
        <s:is>
          <s:t>N/A / API-domain contract consumed by frontend where applicable.</s:t>
        </s:is>
      </s:c>
      <s:c r="X82" s="13" t="inlineStr">
        <s:is>
          <s:t>Acceptance Criteria + Test Evidence + Release Gate</s:t>
        </s:is>
      </s:c>
      <s:c r="Y82" s="54" t="inlineStr">
        <s:is>
          <s:t>Implementuar — në pranim</s:t>
        </s:is>
      </s:c>
      <s:c r="Z82" s="56" t="inlineStr">
        <s:is>
          <s:t>Timeout-i i container-it u korrigjua dhe uncertain/failed nuk riprovohen verbërisht; failure codes ruhen.
Klasifikimi 2026-09-08: Taxonomia e gabimeve, Retry-After, backoff me jitter, kufiri i tentimeve dhe remediation e tipizuar janë implementuar; pret Meta staging/RG-07.</s:t>
        </s:is>
      </s:c>
      <s:c r="AA82" s="56" t="inlineStr">
        <s:is>
          <s:t>Mbeten Retry-After, exponential backoff/jitter, attempt limits dhe taxonomy fixtures për 429/5xx/network/auth/media.</s:t>
        </s:is>
      </s:c>
      <s:c r="AB82" s="56" t="inlineStr">
        <s:is>
          <s:t>Prova e kërkuar nga backlog-u: Fault fixtures for each class
Kriteri për t'u verifikuar (nuk deklarohet i kaluar): Retry-After honored; revoked token never endless-retries; terminal error has stable code/remediation.
DA-01: Fixture: job i krijuar dje, container i krijuar tani, IN_PROGRESS pastaj FINISHED; publikim vetëm një herë. Provo veçmas skadimin real të container-it.
Pranimi kërkon edhe gate-et: RG-07. Asnjë gate nuk është shënuar Passed nga ky audit.</s:t>
        </s:is>
      </s:c>
      <s:c r="AC82" s="56" t="inlineStr">
        <s:is>
          <s:t>Boundary unit test kaloi; provider fault matrix mungon.
Validimi 2026-09-08: migrimi 0015 ruan retry_count/max_attempts për çdo job; fault fixtures mbulojnë 429/Retry-After, 5xx, network, auth, permission dhe media. Integration test provoi backoff, jitter, kufirin tre-tentimësh dhe terminal code; shkrimi me rezultat të paqartë vazhdon në reconciliation pa ridërgim. API kthen disposition/remediation të tipizuar dhe UI shfaq retry/blocked/terminal state.</s:t>
        </s:is>
      </s:c>
      <s:c r="AD82" s="56" t="inlineStr">
        <s:is>
          <s:t>apps/web/server/utils/publishing.ts
apps/web/server/utils/meta.ts
apps/web/database/migrations/0015_publication_retry_policy.sql; apps/web/server/utils/meta.ts; apps/web/server/utils/publishing.ts; apps/web/server/api/posts/[id]/publication.get.ts; apps/web/app/components/ContentEditor.vue; apps/web/tests/integration/server.test.ts</s:t>
        </s:is>
      </s:c>
      <s:c r="AE82" s="42" t="inlineStr">
        <s:is>
          <s:t>Kryer në kod — pret pranim/gate</s:t>
        </s:is>
      </s:c>
      <s:c r="AF82" s="42" t="inlineStr">
        <s:is>
          <s:t>Jo për scope-in e rreshtit</s:t>
        </s:is>
      </s:c>
      <s:c r="AG82" s="42" t="inlineStr">
        <s:is>
          <s:t>Po</s:t>
        </s:is>
      </s:c>
      <s:c r="AH82" s="42" t="inlineStr">
        <s:is>
          <s:t>Mbeten Retry-After, exponential backoff/jitter, attempt limits dhe taxonomy fixtures për 429/5xx/network/auth/media.</s:t>
        </s:is>
      </s:c>
      <s:c r="AI82" s="42" t="inlineStr">
        <s:is>
          <s:t>docs/backlog-code-handoff-2026-09-08.json#S4-A05</s:t>
        </s:is>
      </s:c>
      <s:c r="AJ82" s="42" t="inlineStr">
        <s:is>
          <s:t>Programmer A / review: Programmer B</s:t>
        </s:is>
      </s:c>
    </s:row>
    <s:row r="83" ht="180" customHeight="1" s="48">
      <s:c r="A83" s="17" t="inlineStr">
        <s:is>
          <s:t>S4-A06</s:t>
        </s:is>
      </s:c>
      <s:c r="B83" s="18" t="inlineStr">
        <s:is>
          <s:t>S4</s:t>
        </s:is>
      </s:c>
      <s:c r="C83" s="18" t="inlineStr">
        <s:is>
          <s:t>Publishing</s:t>
        </s:is>
      </s:c>
      <s:c r="D83" s="12" t="inlineStr">
        <s:is>
          <s:t>Implement ambiguous-outcome reconciliation</s:t>
        </s:is>
      </s:c>
      <s:c r="E83" s="13" t="inlineStr">
        <s:is>
          <s:t>On timeout/unknown post outcome, query/reconcile provider state/external identifier before retry and record reconciliation attempt.</s:t>
        </s:is>
      </s:c>
      <s:c r="F83" s="13" t="inlineStr">
        <s:is>
          <s:t>Simulated timeout-after-success yields one remote post and local PUBLISHED; no blind duplicate.</s:t>
        </s:is>
      </s:c>
      <s:c r="G83" s="18" t="inlineStr">
        <s:is>
          <s:t>S4-A04,S4-A05</s:t>
        </s:is>
      </s:c>
      <s:c r="H83" s="18" t="inlineStr">
        <s:is>
          <s:t>P0</s:t>
        </s:is>
      </s:c>
      <s:c r="I83" s="18" t="inlineStr">
        <s:is>
          <s:t>Programmer A</s:t>
        </s:is>
      </s:c>
      <s:c r="J83" s="18" t="inlineStr">
        <s:is>
          <s:t>Programmer B</s:t>
        </s:is>
      </s:c>
      <s:c r="K83" s="18" t="n">
        <s:v>8</s:v>
      </s:c>
      <s:c r="L83" s="28" t="inlineStr">
        <s:is>
          <s:t>In Review</s:t>
        </s:is>
      </s:c>
      <s:c r="M83" s="13" t="inlineStr">
        <s:is>
          <s:t>Fault injection timeout-after-side-effect</s:t>
        </s:is>
      </s:c>
      <s:c r="N83" s="18" t="inlineStr">
        <s:is>
          <s:t>RG-07</s:t>
        </s:is>
      </s:c>
      <s:c r="O83" s="13" t="inlineStr">
        <s:is>
          <s:t>Duplicate customer-facing publish protection.</s:t>
        </s:is>
      </s:c>
      <s:c r="P83" s="18" t="inlineStr">
        <s:is>
          <s:t>publish reconciliation</s:t>
        </s:is>
      </s:c>
      <s:c r="Q83" s="14">
        <s:f>INDEX('01_ROADMAP'!$C$5:$C$15,MATCH(B83,'01_ROADMAP'!$A$5:$A$15,0))</s:f>
        <s:v>46328.0</s:v>
      </s:c>
      <s:c r="R83" s="14">
        <s:f>INDEX('01_ROADMAP'!$D$5:$D$15,MATCH(B83,'01_ROADMAP'!$A$5:$A$15,0))</s:f>
        <s:v>46341.0</s:v>
      </s:c>
      <s:c r="S83" s="29" t="inlineStr">
        <s:is>
          <s:t>docs/backlog-partial-progress-2026-09-08.json#S4-A06</s:t>
        </s:is>
      </s:c>
      <s:c r="T83" s="13" t="inlineStr">
        <s:is>
          <s:t>META</s:t>
        </s:is>
      </s:c>
      <s:c r="U83" s="13" t="inlineStr">
        <s:is>
          <s:t>Publishing</s:t>
        </s:is>
      </s:c>
      <s:c r="V83" s="13" t="inlineStr">
        <s:is>
          <s:t>GA</s:t>
        </s:is>
      </s:c>
      <s:c r="W83" s="13" t="inlineStr">
        <s:is>
          <s:t>N/A / API-domain contract consumed by frontend where applicable.</s:t>
        </s:is>
      </s:c>
      <s:c r="X83" s="13" t="inlineStr">
        <s:is>
          <s:t>Acceptance Criteria + Test Evidence + Release Gate</s:t>
        </s:is>
      </s:c>
      <s:c r="Y83" s="54" t="inlineStr">
        <s:is>
          <s:t>Implementuar — në pranim</s:t>
        </s:is>
      </s:c>
      <s:c r="Z83" s="55" t="inlineStr">
        <s:is>
          <s:t>Reconciler-i rilidh vetëm target-in origjinal, verifikon provider ID ose një përputhje unike caption/time. Fault fixture simulon timeout pas side-effect-it, kalon në uncertain dhe e mbyll published pa ridërgim.
Klasifikimi 2026-09-08: Timeout-after-side-effect reconciliation kalon pa ridërgim; pret Meta staging/RG-07.</s:t>
        </s:is>
      </s:c>
      <s:c r="AA83" s="55" t="inlineStr">
        <s:is>
          <s:t>Kriteri lokal i simulimit është përmbushur. Mbeten staging proof me një remote post dhe procedura operative për zero/shumë përputhje; RG-07 nuk është mbyllur.</s:t>
        </s:is>
      </s:c>
      <s:c r="AB83" s="55" t="inlineStr">
        <s:is>
          <s:t>Prova e kërkuar nga backlog-u: Fault injection timeout-after-side-effect
Kriteri për t'u verifikuar (nuk deklarohet i kaluar): Simulated timeout-after-success yields one remote post and local PUBLISHED; no blind duplicate.
DA-04: Timeout pas efektit të jashtëm → uncertain → disconnect → verifikim rezultati → reconnect; ruaj identitetin e target-it dhe mos dyfisho.
Pranimi kërkon edhe gate-et: RG-07. Asnjë gate nuk është shënuar Passed nga ky audit.</s:t>
        </s:is>
      </s:c>
      <s:c r="AC83" s="55" t="inlineStr">
        <s:is>
          <s:t>Integration test ekzekuton timeout-after-provider-write, verifikon një remote write logjik dhe reconciliation pa POST të dytë; live Meta nuk u përdor.</s:t>
        </s:is>
      </s:c>
      <s:c r="AD83" s="55" t="inlineStr">
        <s:is>
          <s:t>apps/web/server/api/posts/[id]/reconcile.post.ts
apps/web/server/utils/publishing.ts
apps/web/server/api/meta/select.post.ts</s:t>
        </s:is>
      </s:c>
      <s:c r="AE83" s="42" t="inlineStr">
        <s:is>
          <s:t>Kryer në kod — pret pranim/gate</s:t>
        </s:is>
      </s:c>
      <s:c r="AF83" s="42" t="inlineStr">
        <s:is>
          <s:t>Jo për scope-in e rreshtit</s:t>
        </s:is>
      </s:c>
      <s:c r="AG83" s="42" t="inlineStr">
        <s:is>
          <s:t>Po</s:t>
        </s:is>
      </s:c>
      <s:c r="AH83" s="42" t="inlineStr">
        <s:is>
          <s:t>Kriteri lokal i simulimit është përmbushur. Mbeten staging proof me një remote post dhe procedura operative për zero/shumë përputhje; RG-07 nuk është mbyllur.</s:t>
        </s:is>
      </s:c>
      <s:c r="AI83" s="42" t="inlineStr">
        <s:is>
          <s:t>docs/backlog-code-handoff-2026-09-08.json#S4-A06</s:t>
        </s:is>
      </s:c>
      <s:c r="AJ83" s="42" t="inlineStr">
        <s:is>
          <s:t>Programmer A / review: Programmer B</s:t>
        </s:is>
      </s:c>
    </s:row>
    <s:row r="84" ht="180" customHeight="1" s="48">
      <s:c r="A84" s="17" t="inlineStr">
        <s:is>
          <s:t>S4-A07</s:t>
        </s:is>
      </s:c>
      <s:c r="B84" s="18" t="inlineStr">
        <s:is>
          <s:t>S4</s:t>
        </s:is>
      </s:c>
      <s:c r="C84" s="18" t="inlineStr">
        <s:is>
          <s:t>Publishing</s:t>
        </s:is>
      </s:c>
      <s:c r="D84" s="12" t="inlineStr">
        <s:is>
          <s:t>Add publication idempotency/attempt ledger</s:t>
        </s:is>
      </s:c>
      <s:c r="E84" s="13" t="inlineStr">
        <s:is>
          <s:t>Create unique logical keys, publication_attempts, provider request hash and worker duplicate protection.</s:t>
        </s:is>
      </s:c>
      <s:c r="F84" s="13" t="inlineStr">
        <s:is>
          <s:t>Duplicate HTTP/queue delivery yields same logical schedule/attempt outcome; attempt history ordered and immutable.</s:t>
        </s:is>
      </s:c>
      <s:c r="G84" s="18" t="inlineStr">
        <s:is>
          <s:t>S4-A02,S4-A04</s:t>
        </s:is>
      </s:c>
      <s:c r="H84" s="18" t="inlineStr">
        <s:is>
          <s:t>P0</s:t>
        </s:is>
      </s:c>
      <s:c r="I84" s="18" t="inlineStr">
        <s:is>
          <s:t>Programmer A</s:t>
        </s:is>
      </s:c>
      <s:c r="J84" s="18" t="inlineStr">
        <s:is>
          <s:t>Programmer B</s:t>
        </s:is>
      </s:c>
      <s:c r="K84" s="18" t="n">
        <s:v>7</s:v>
      </s:c>
      <s:c r="L84" s="28" t="inlineStr">
        <s:is>
          <s:t>In Review</s:t>
        </s:is>
      </s:c>
      <s:c r="M84" s="13" t="inlineStr">
        <s:is>
          <s:t>Duplicate/concurrency tests</s:t>
        </s:is>
      </s:c>
      <s:c r="N84" s="18" t="inlineStr">
        <s:is>
          <s:t>RG-07</s:t>
        </s:is>
      </s:c>
      <s:c r="O84" s="13" t="inlineStr">
        <s:is>
          <s:t>Auditability.</s:t>
        </s:is>
      </s:c>
      <s:c r="P84" s="18" t="inlineStr">
        <s:is>
          <s:t>publication attempt ledger</s:t>
        </s:is>
      </s:c>
      <s:c r="Q84" s="14">
        <s:f>INDEX('01_ROADMAP'!$C$5:$C$15,MATCH(B84,'01_ROADMAP'!$A$5:$A$15,0))</s:f>
        <s:v>46328.0</s:v>
      </s:c>
      <s:c r="R84" s="14">
        <s:f>INDEX('01_ROADMAP'!$D$5:$D$15,MATCH(B84,'01_ROADMAP'!$A$5:$A$15,0))</s:f>
        <s:v>46341.0</s:v>
      </s:c>
      <s:c r="S84" s="29" t="inlineStr">
        <s:is>
          <s:t>docs/backlog-partial-progress-2026-09-08.json#S4-A07</s:t>
        </s:is>
      </s:c>
      <s:c r="T84" s="13" t="inlineStr">
        <s:is>
          <s:t>META</s:t>
        </s:is>
      </s:c>
      <s:c r="U84" s="13" t="inlineStr">
        <s:is>
          <s:t>Publishing</s:t>
        </s:is>
      </s:c>
      <s:c r="V84" s="13" t="inlineStr">
        <s:is>
          <s:t>GA</s:t>
        </s:is>
      </s:c>
      <s:c r="W84" s="13" t="inlineStr">
        <s:is>
          <s:t>N/A / API-domain contract consumed by frontend where applicable.</s:t>
        </s:is>
      </s:c>
      <s:c r="X84" s="13" t="inlineStr">
        <s:is>
          <s:t>Acceptance Criteria + Test Evidence + Release Gate</s:t>
        </s:is>
      </s:c>
      <s:c r="Y84" s="54" t="inlineStr">
        <s:is>
          <s:t>Implementuar — në pranim</s:t>
        </s:is>
      </s:c>
      <s:c r="Z84" s="56" t="inlineStr">
        <s:is>
          <s:t>Unique job guard, SKIP LOCKED dhe worker fixture provojnë se dy delivery/worker-a paralelë japin një publikim logjik; provider receipt ruhet përpara verifikimit dhe uncertain nuk ridërgohet verbërisht.
Klasifikimi 2026-09-08: Logical key idempotent, duplicate protection dhe ledger-i append-only i tentimeve janë implementuar; pret Meta staging/RG-07.</s:t>
        </s:is>
      </s:c>
      <s:c r="AA84" s="56" t="inlineStr">
        <s:is>
          <s:t>Mbetet publication_attempts ledger immutable me request hash dhe histori të renditur për çdo tentim, plus prova HTTP→queue→provider në staging.</s:t>
        </s:is>
      </s:c>
      <s:c r="AB84" s="56" t="inlineStr">
        <s:is>
          <s:t>Prova e kërkuar nga backlog-u: Duplicate/concurrency tests
Kriteri për t'u verifikuar (nuk deklarohet i kaluar): Duplicate HTTP/queue delivery yields same logical schedule/attempt outcome; attempt history ordered and immutable.
DA-14: Facebook dhe Instagram: sukses, 429, 5xx, crash, expired token, cancel, timeout-after-write dhe dy worker-a; arkivo provider IDs pa tokenë.
Pranimi kërkon edhe gate-et: RG-07. Asnjë gate nuk është shënuar Passed nga ky audit.</s:t>
        </s:is>
      </s:c>
      <s:c r="AC84" s="56" t="inlineStr">
        <s:is>
          <s:t>Dy runPublishingBatch paralelë prodhuan vetëm një provider POST; timeout-after-write u pajtua pa POST tjetër.
Validimi 2026-09-08: migrimet 0016–0017 shtuan ledger-in append-only, attempt sequence, request hash dhe logical key unik për biznes. Dy queue calls konkurruese kthyen të njëjtin job; dy worker-a prodhuan vetëm një provider POST; retry-t ruajtën të njëjtin hash dhe histori të renditur. UPDATE/DELETE u refuzuan nga trigger-i dhe roli runtime ka vetëm SELECT/INSERT mbi ledger-in.</s:t>
        </s:is>
      </s:c>
      <s:c r="AD84" s="56" t="inlineStr">
        <s:is>
          <s:t>apps/web/database/migrations/0004_trials_and_social.sql
apps/web/server/utils/publishing.ts
apps/web/tests/integration/server.test.ts
apps/web/database/migrations/0016_publication_attempt_ledger.sql; apps/web/database/migrations/0017_publication_logical_keys.sql; infra/postgres/provision-runtime.sh; apps/web/server/utils/publishing.ts; apps/web/server/api/posts/[id]/publish.post.ts; apps/web/server/api/posts/[id]/publication.get.ts; apps/web/tests/integration/server.test.ts</s:t>
        </s:is>
      </s:c>
      <s:c r="AE84" s="42" t="inlineStr">
        <s:is>
          <s:t>Kryer në kod — pret pranim/gate</s:t>
        </s:is>
      </s:c>
      <s:c r="AF84" s="42" t="inlineStr">
        <s:is>
          <s:t>Jo për scope-in e rreshtit</s:t>
        </s:is>
      </s:c>
      <s:c r="AG84" s="42" t="inlineStr">
        <s:is>
          <s:t>Po</s:t>
        </s:is>
      </s:c>
      <s:c r="AH84" s="42" t="inlineStr">
        <s:is>
          <s:t>Mbetet publication_attempts ledger immutable me request hash dhe histori të renditur për çdo tentim, plus prova HTTP→queue→provider në staging.</s:t>
        </s:is>
      </s:c>
      <s:c r="AI84" s="42" t="inlineStr">
        <s:is>
          <s:t>docs/backlog-code-handoff-2026-09-08.json#S4-A07</s:t>
        </s:is>
      </s:c>
      <s:c r="AJ84" s="42" t="inlineStr">
        <s:is>
          <s:t>Programmer A / review: Programmer B</s:t>
        </s:is>
      </s:c>
    </s:row>
    <s:row r="85" ht="155.1" customHeight="1" s="48">
      <s:c r="A85" s="17" t="inlineStr">
        <s:is>
          <s:t>S4-A08</s:t>
        </s:is>
      </s:c>
      <s:c r="B85" s="18" t="inlineStr">
        <s:is>
          <s:t>S4</s:t>
        </s:is>
      </s:c>
      <s:c r="C85" s="18" t="inlineStr">
        <s:is>
          <s:t>Notifications</s:t>
        </s:is>
      </s:c>
      <s:c r="D85" s="12" t="inlineStr">
        <s:is>
          <s:t>Implement in-app notification domain/delivery queue</s:t>
        </s:is>
      </s:c>
      <s:c r="E85" s="13" t="inlineStr">
        <s:is>
          <s:t>Create notification/delivery schema and event handlers for approval, publish failure, reconnect and quota warnings; provider port for email.</s:t>
        </s:is>
      </s:c>
      <s:c r="F85" s="13" t="inlineStr">
        <s:is>
          <s:t>Duplicate event does not spam; recipient role scoped; email failure retries independently from business transaction.</s:t>
        </s:is>
      </s:c>
      <s:c r="G85" s="18" t="inlineStr">
        <s:is>
          <s:t>S0-A08,S4-A01,S4-A05</s:t>
        </s:is>
      </s:c>
      <s:c r="H85" s="18" t="inlineStr">
        <s:is>
          <s:t>P1</s:t>
        </s:is>
      </s:c>
      <s:c r="I85" s="18" t="inlineStr">
        <s:is>
          <s:t>Programmer A</s:t>
        </s:is>
      </s:c>
      <s:c r="J85" s="18" t="inlineStr">
        <s:is>
          <s:t>Programmer B</s:t>
        </s:is>
      </s:c>
      <s:c r="K85" s="18" t="n">
        <s:v>7</s:v>
      </s:c>
      <s:c r="L85" s="30" t="inlineStr">
        <s:is>
          <s:t>Not Started</s:t>
        </s:is>
      </s:c>
      <s:c r="M85" s="13" t="inlineStr">
        <s:is>
          <s:t>Dedupe/retry/recipient tests</s:t>
        </s:is>
      </s:c>
      <s:c r="N85" s="18" t="inlineStr">
        <s:is>
          <s:t>RG-10</s:t>
        </s:is>
      </s:c>
      <s:c r="O85" s="13" t="inlineStr">
        <s:is>
          <s:t>No sensitive payload in notification.</s:t>
        </s:is>
      </s:c>
      <s:c r="P85" s="18" t="inlineStr">
        <s:is>
          <s:t>notification backend</s:t>
        </s:is>
      </s:c>
      <s:c r="Q85" s="14">
        <s:f>INDEX('01_ROADMAP'!$C$5:$C$15,MATCH(B85,'01_ROADMAP'!$A$5:$A$15,0))</s:f>
        <s:v>46328.0</s:v>
      </s:c>
      <s:c r="R85" s="14">
        <s:f>INDEX('01_ROADMAP'!$D$5:$D$15,MATCH(B85,'01_ROADMAP'!$A$5:$A$15,0))</s:f>
        <s:v>46341.0</s:v>
      </s:c>
      <s:c r="S85" s="29" t="inlineStr">
        <s:is>
          <s:t>docs/backlog-deep-audit-2026-09-07.json#S4-A08</s:t>
        </s:is>
      </s:c>
      <s:c r="T85" s="13" t="inlineStr">
        <s:is>
          <s:t>BACKEND</s:t>
        </s:is>
      </s:c>
      <s:c r="U85" s="13" t="inlineStr">
        <s:is>
          <s:t>Notifications</s:t>
        </s:is>
      </s:c>
      <s:c r="V85" s="13" t="inlineStr">
        <s:is>
          <s:t>GA</s:t>
        </s:is>
      </s:c>
      <s:c r="W85" s="13" t="inlineStr">
        <s:is>
          <s:t>N/A / API-domain contract consumed by frontend where applicable.</s:t>
        </s:is>
      </s:c>
      <s:c r="X85" s="13" t="inlineStr">
        <s:is>
          <s:t>Acceptance Criteria + Test Evidence + Release Gate</s:t>
        </s:is>
      </s:c>
      <s:c r="Y85" s="57" t="inlineStr">
        <s:is>
          <s:t>Pa filluar</s:t>
        </s:is>
      </s:c>
      <s:c r="Z85" s="55" t="inlineStr">
        <s:is>
          <s:t>SMTP për auth ekziston, por jo shërbimi i event notifications.</s:t>
        </s:is>
      </s:c>
      <s:c r="AA85" s="55" t="inlineStr">
        <s:is>
          <s:t>1. Krijo notification dhe delivery records për approval/failure/reconnect/quota; cakto marrësin sipas lejeve, dedupe eventesh dhe retry email jashtë transaksionit të postimit.</s:t>
        </s:is>
      </s:c>
      <s:c r="AB85" s="55" t="inlineStr">
        <s:is>
          <s:t>Prova e kërkuar nga backlog-u: Dedupe/retry/recipient tests
Kriteri për t'u verifikuar (nuk deklarohet i kaluar): Duplicate event does not spam; recipient role scoped; email failure retries independently from business transaction.
Pranimi kërkon edhe gate-et: RG-10. Asnjë gate nuk është shënuar Passed nga ky audit.</s:t>
        </s:is>
      </s:c>
      <s:c r="AC85" s="55" t="inlineStr">
        <s:is>
          <s:t>U rishikuan kodi/artefaktet dhe u kërkua implementimi i kësaj detyre. Nuk ka provë të ekzekutuar specifike që mbyll të gjithë kriterin; kontrollet globale nuk e zëvendësojnë atë.</s:t>
        </s:is>
      </s:c>
      <s:c r="AD85" s="55" t="inlineStr">
        <s:is>
          <s:t>Nuk u gjet implementim specifik; shiko kriterin dhe hapat në AA/AB.</s:t>
        </s:is>
      </s:c>
      <s:c r="AE85" s="42" t="inlineStr">
        <s:is>
          <s:t>Pa filluar</s:t>
        </s:is>
      </s:c>
      <s:c r="AF85" s="42" t="inlineStr">
        <s:is>
          <s:t>Po</s:t>
        </s:is>
      </s:c>
      <s:c r="AG85" s="42" t="inlineStr">
        <s:is>
          <s:t>Po, pas implementimit</s:t>
        </s:is>
      </s:c>
      <s:c r="AH85" s="42" t="inlineStr">
        <s:is>
          <s:t>Krijo notification dhe delivery records për approval/failure/reconnect/quota; cakto marrësin sipas lejeve, dedupe eventesh dhe retry email jashtë transaksionit të postimit.</s:t>
        </s:is>
      </s:c>
      <s:c r="AI85" s="42" t="inlineStr">
        <s:is>
          <s:t>docs/backlog-code-handoff-2026-09-08.json#S4-A08</s:t>
        </s:is>
      </s:c>
      <s:c r="AJ85" s="42" t="inlineStr">
        <s:is>
          <s:t>Programmer A / review: Programmer B</s:t>
        </s:is>
      </s:c>
    </s:row>
    <s:row r="86" ht="180" customHeight="1" s="48">
      <s:c r="A86" s="17" t="inlineStr">
        <s:is>
          <s:t>S4-A09</s:t>
        </s:is>
      </s:c>
      <s:c r="B86" s="18" t="inlineStr">
        <s:is>
          <s:t>S4</s:t>
        </s:is>
      </s:c>
      <s:c r="C86" s="18" t="inlineStr">
        <s:is>
          <s:t>Publishing QA</s:t>
        </s:is>
      </s:c>
      <s:c r="D86" s="12" t="inlineStr">
        <s:is>
          <s:t>Build publishing resilience test matrix</s:t>
        </s:is>
      </s:c>
      <s:c r="E86" s="13" t="inlineStr">
        <s:is>
          <s:t>Automate duplicate delivery, worker crash, 429, 5xx, revoked auth, invalid media, cancelled schedule and DST cases.</s:t>
        </s:is>
      </s:c>
      <s:c r="F86" s="13" t="inlineStr">
        <s:is>
          <s:t>All matrix cases produce expected state and no duplicate; tests run in CI with provider fixtures.</s:t>
        </s:is>
      </s:c>
      <s:c r="G86" s="18" t="inlineStr">
        <s:is>
          <s:t>S4-A03,S4-A04,S4-A05,S4-A06,S4-A07</s:t>
        </s:is>
      </s:c>
      <s:c r="H86" s="18" t="inlineStr">
        <s:is>
          <s:t>P0</s:t>
        </s:is>
      </s:c>
      <s:c r="I86" s="18" t="inlineStr">
        <s:is>
          <s:t>Programmer A</s:t>
        </s:is>
      </s:c>
      <s:c r="J86" s="18" t="inlineStr">
        <s:is>
          <s:t>Programmer B</s:t>
        </s:is>
      </s:c>
      <s:c r="K86" s="18" t="n">
        <s:v>9</s:v>
      </s:c>
      <s:c r="L86" s="28" t="inlineStr">
        <s:is>
          <s:t>In Progress</s:t>
        </s:is>
      </s:c>
      <s:c r="M86" s="13" t="inlineStr">
        <s:is>
          <s:t>Resilience integration suite</s:t>
        </s:is>
      </s:c>
      <s:c r="N86" s="18" t="inlineStr">
        <s:is>
          <s:t>RG-07</s:t>
        </s:is>
      </s:c>
      <s:c r="O86" s="13" t="inlineStr">
        <s:is>
          <s:t>Release blocker suite.</s:t>
        </s:is>
      </s:c>
      <s:c r="P86" s="18" t="inlineStr">
        <s:is>
          <s:t>tests/publishing</s:t>
        </s:is>
      </s:c>
      <s:c r="Q86" s="14">
        <s:f>INDEX('01_ROADMAP'!$C$5:$C$15,MATCH(B86,'01_ROADMAP'!$A$5:$A$15,0))</s:f>
        <s:v>46328.0</s:v>
      </s:c>
      <s:c r="R86" s="14">
        <s:f>INDEX('01_ROADMAP'!$D$5:$D$15,MATCH(B86,'01_ROADMAP'!$A$5:$A$15,0))</s:f>
        <s:v>46341.0</s:v>
      </s:c>
      <s:c r="S86" s="29" t="inlineStr">
        <s:is>
          <s:t>docs/backlog-partial-progress-2026-09-08.json#S4-A09</s:t>
        </s:is>
      </s:c>
      <s:c r="T86" s="13" t="inlineStr">
        <s:is>
          <s:t>META</s:t>
        </s:is>
      </s:c>
      <s:c r="U86" s="13" t="inlineStr">
        <s:is>
          <s:t>Publishing</s:t>
        </s:is>
      </s:c>
      <s:c r="V86" s="13" t="inlineStr">
        <s:is>
          <s:t>GA</s:t>
        </s:is>
      </s:c>
      <s:c r="W86" s="13" t="inlineStr">
        <s:is>
          <s:t>N/A / API-domain contract consumed by frontend where applicable.</s:t>
        </s:is>
      </s:c>
      <s:c r="X86" s="13" t="inlineStr">
        <s:is>
          <s:t>Acceptance Criteria + Test Evidence + Release Gate</s:t>
        </s:is>
      </s:c>
      <s:c r="Y86" s="54" t="inlineStr">
        <s:is>
          <s:t>Pjesërisht</s:t>
        </s:is>
      </s:c>
      <s:c r="Z86" s="56" t="inlineStr">
        <s:is>
          <s:t>Suite mbulon success me dy worker-a, duplicate claim, timeout-after-write, safe reconciliation, container timeout, target binding, signatures, validation scopes dhe manual/automatic guards.</s:t>
        </s:is>
      </s:c>
      <s:c r="AA86" s="56" t="inlineStr">
        <s:is>
          <s:t>Mbeten 429/Retry-After, 5xx, auth expiry, media reject, cancel race, process crash dhe provider fixtures në hosted CI/staging.</s:t>
        </s:is>
      </s:c>
      <s:c r="AB86" s="56" t="inlineStr">
        <s:is>
          <s:t>Prova e kërkuar nga backlog-u: Resilience integration suite
Kriteri për t'u verifikuar (nuk deklarohet i kaluar): All matrix cases produce expected state and no duplicate; tests run in CI with provider fixtures.
DA-01: Fixture: job i krijuar dje, container i krijuar tani, IN_PROGRESS pastaj FINISHED; publikim vetëm një herë. Provo veçmas skadimin real të container-it.
DA-14: Facebook dhe Instagram: sukses, 429, 5xx, crash, expired token, cancel, timeout-after-write dhe dy worker-a; arkivo provider IDs pa tokenë.
Pranimi kërkon edhe gate-et: RG-07. Asnjë gate nuk është shënuar Passed nga ky audit.</s:t>
        </s:is>
      </s:c>
      <s:c r="AC86" s="56" t="inlineStr">
        <s:is>
          <s:t>47/47 unit/integration kaluan; success/duplicate/ambiguous outcome tani ekzekutojnë worker-in real me fetch provider fixture.</s:t>
        </s:is>
      </s:c>
      <s:c r="AD86" s="56" t="inlineStr">
        <s:is>
          <s:t>apps/web/tests/integration/server.test.ts
apps/web/server/utils/publishing.ts</s:t>
        </s:is>
      </s:c>
      <s:c r="AE86" s="42" t="inlineStr">
        <s:is>
          <s:t>Pjesërisht — kërkon zhvillim</s:t>
        </s:is>
      </s:c>
      <s:c r="AF86" s="42" t="inlineStr">
        <s:is>
          <s:t>Po</s:t>
        </s:is>
      </s:c>
      <s:c r="AG86" s="42" t="inlineStr">
        <s:is>
          <s:t>Po — përzier me punë të jashtme</s:t>
        </s:is>
      </s:c>
      <s:c r="AH86" s="42" t="inlineStr">
        <s:is>
          <s:t>Mbeten 429/Retry-After, 5xx, auth expiry, media reject, cancel race, process crash dhe provider fixtures në hosted CI/staging.</s:t>
        </s:is>
      </s:c>
      <s:c r="AI86" s="42" t="inlineStr">
        <s:is>
          <s:t>docs/backlog-code-handoff-2026-09-08.json#S4-A09</s:t>
        </s:is>
      </s:c>
      <s:c r="AJ86" s="42" t="inlineStr">
        <s:is>
          <s:t>Programmer A / review: Programmer B</s:t>
        </s:is>
      </s:c>
    </s:row>
    <s:row r="87" ht="180" customHeight="1" s="48">
      <s:c r="A87" s="17" t="inlineStr">
        <s:is>
          <s:t>S4-B01</s:t>
        </s:is>
      </s:c>
      <s:c r="B87" s="18" t="inlineStr">
        <s:is>
          <s:t>S4</s:t>
        </s:is>
      </s:c>
      <s:c r="C87" s="18" t="inlineStr">
        <s:is>
          <s:t>Approval UX</s:t>
        </s:is>
      </s:c>
      <s:c r="D87" s="12" t="inlineStr">
        <s:is>
          <s:t>Build review/approve/reject workflow</s:t>
        </s:is>
      </s:c>
      <s:c r="E87" s="13" t="inlineStr">
        <s:is>
          <s:t>Create approval queue, content review, comments/reject reason and capability-aware approve action with stale-version handling.</s:t>
        </s:is>
      </s:c>
      <s:c r="F87" s="13" t="inlineStr">
        <s:is>
          <s:t>Approver sees exact immutable version; stale approval conflict prompts refresh; unauthorized user cannot trigger backend action.</s:t>
        </s:is>
      </s:c>
      <s:c r="G87" s="18" t="inlineStr">
        <s:is>
          <s:t>S4-A01,S3-B08</s:t>
        </s:is>
      </s:c>
      <s:c r="H87" s="18" t="inlineStr">
        <s:is>
          <s:t>P0</s:t>
        </s:is>
      </s:c>
      <s:c r="I87" s="18" t="inlineStr">
        <s:is>
          <s:t>Programmer B</s:t>
        </s:is>
      </s:c>
      <s:c r="J87" s="18" t="inlineStr">
        <s:is>
          <s:t>Programmer A</s:t>
        </s:is>
      </s:c>
      <s:c r="K87" s="18" t="n">
        <s:v>8</s:v>
      </s:c>
      <s:c r="L87" s="28" t="inlineStr">
        <s:is>
          <s:t>In Progress</s:t>
        </s:is>
      </s:c>
      <s:c r="M87" s="13" t="inlineStr">
        <s:is>
          <s:t>E2E approval role/version cases</s:t>
        </s:is>
      </s:c>
      <s:c r="N87" s="18" t="inlineStr">
        <s:is>
          <s:t>RG-03,RG-14</s:t>
        </s:is>
      </s:c>
      <s:c r="O87" s="13" t="inlineStr">
        <s:is>
          <s:t>High-risk warnings visible before approval.</s:t>
        </s:is>
      </s:c>
      <s:c r="P87" s="18" t="inlineStr">
        <s:is>
          <s:t>approval UI</s:t>
        </s:is>
      </s:c>
      <s:c r="Q87" s="14">
        <s:f>INDEX('01_ROADMAP'!$C$5:$C$15,MATCH(B87,'01_ROADMAP'!$A$5:$A$15,0))</s:f>
        <s:v>46328.0</s:v>
      </s:c>
      <s:c r="R87" s="14">
        <s:f>INDEX('01_ROADMAP'!$D$5:$D$15,MATCH(B87,'01_ROADMAP'!$A$5:$A$15,0))</s:f>
        <s:v>46341.0</s:v>
      </s:c>
      <s:c r="S87" s="29" t="inlineStr">
        <s:is>
          <s:t>docs/backlog-partial-progress-2026-09-08.json#S4-B01</s:t>
        </s:is>
      </s:c>
      <s:c r="T87" s="13" t="inlineStr">
        <s:is>
          <s:t>FRONTEND</s:t>
        </s:is>
      </s:c>
      <s:c r="U87" s="13" t="inlineStr">
        <s:is>
          <s:t>Platform</s:t>
        </s:is>
      </s:c>
      <s:c r="V87" s="13" t="inlineStr">
        <s:is>
          <s:t>GA</s:t>
        </s:is>
      </s:c>
      <s:c r="W87" s="13" t="inlineStr">
        <s:is>
          <s:t>See companion DOCX; use Nuxt UI primitives and shared design system for user-facing tasks.</s:t>
        </s:is>
      </s:c>
      <s:c r="X87" s="13" t="inlineStr">
        <s:is>
          <s:t>Acceptance Criteria + Test Evidence + Release Gate</s:t>
        </s:is>
      </s:c>
      <s:c r="Y87" s="54" t="inlineStr">
        <s:is>
          <s:t>Pjesërisht</s:t>
        </s:is>
      </s:c>
      <s:c r="Z87" s="55" t="inlineStr">
        <s:is>
          <s:t>Reviewer-i sheh përmbajtjen aktuale; approval record i pandryshueshëm lidhet me snapshot-in e plotë dhe stale workspace revision kthen konflikt. E2E approve kalon për Facebook/Instagram.</s:t>
        </s:is>
      </s:c>
      <s:c r="AA87" s="55" t="inlineStr">
        <s:is>
          <s:t>Mbeten Approver role/unauthorized matrix, comments/reject reason, UI që hap snapshot historik dhe RG-03/RG-14.</s:t>
        </s:is>
      </s:c>
      <s:c r="AB87" s="55" t="inlineStr">
        <s:is>
          <s:t>Prova e kërkuar nga backlog-u: E2E approval role/version cases
Kriteri për t'u verifikuar (nuk deklarohet i kaluar): Approver sees exact immutable version; stale approval conflict prompts refresh; unauthorized user cannot trigger backend action.
DA-07: Ndrysho fotografi/tekst/kanal pas miratimit; versioni i vjetër mbetet identik dhe approval i vjetër nuk autorizon versionin e ri; provo konkurencën.
Pranimi kërkon edhe gate-et: RG-03,RG-14. Asnjë gate nuk është shënuar Passed nga ky audit.</s:t>
        </s:is>
      </s:c>
      <s:c r="AC87" s="55" t="inlineStr">
        <s:is>
          <s:t>DB version/tenant tests + 8/8 browser tests kaluan.</s:t>
        </s:is>
      </s:c>
      <s:c r="AD87" s="55" t="inlineStr">
        <s:is>
          <s:t>apps/web/app/components/ContentEditor.vue
apps/web/server/api/workspaces/[id].put.ts
apps/web/database/migrations/0009_immutable_content_versions.sql</s:t>
        </s:is>
      </s:c>
      <s:c r="AE87" s="42" t="inlineStr">
        <s:is>
          <s:t>Pjesërisht — kërkon zhvillim</s:t>
        </s:is>
      </s:c>
      <s:c r="AF87" s="42" t="inlineStr">
        <s:is>
          <s:t>Po</s:t>
        </s:is>
      </s:c>
      <s:c r="AG87" s="42" t="inlineStr">
        <s:is>
          <s:t>Po — përzier me punë të jashtme</s:t>
        </s:is>
      </s:c>
      <s:c r="AH87" s="42" t="inlineStr">
        <s:is>
          <s:t>Mbeten Approver role/unauthorized matrix, comments/reject reason, UI që hap snapshot historik dhe RG-03/RG-14.</s:t>
        </s:is>
      </s:c>
      <s:c r="AI87" s="42" t="inlineStr">
        <s:is>
          <s:t>docs/backlog-code-handoff-2026-09-08.json#S4-B01</s:t>
        </s:is>
      </s:c>
      <s:c r="AJ87" s="42" t="inlineStr">
        <s:is>
          <s:t>Programmer B / review: Programmer A</s:t>
        </s:is>
      </s:c>
    </s:row>
    <s:row r="88" ht="155.1" customHeight="1" s="48">
      <s:c r="A88" s="17" t="inlineStr">
        <s:is>
          <s:t>S4-B02</s:t>
        </s:is>
      </s:c>
      <s:c r="B88" s="18" t="inlineStr">
        <s:is>
          <s:t>S4</s:t>
        </s:is>
      </s:c>
      <s:c r="C88" s="18" t="inlineStr">
        <s:is>
          <s:t>Calendar</s:t>
        </s:is>
      </s:c>
      <s:c r="D88" s="12" t="inlineStr">
        <s:is>
          <s:t>Build month/week/list content calendar</s:t>
        </s:is>
      </s:c>
      <s:c r="E88" s="13" t="inlineStr">
        <s:is>
          <s:t>Build month/week/list calendar using Nuxt UI; list with pagination is the default on all screens. Use the guarded schedule modal for date changes; drag/reorder is deferred from the current simple posts-only UX. Clearly label calendar-only vs automatic publication.</s:t>
        </s:is>
      </s:c>
      <s:c r="F88" s="13" t="inlineStr">
        <s:is>
          <s:t>Business timezone/DST fixtures pass. Approved posts can be saved and reloaded in the calendar without Meta. Date changes through the modal cannot bypass approval/content policy. Manual items never publish automatically after a later connection. Month/week/list and mobile core actions are usable.</s:t>
        </s:is>
      </s:c>
      <s:c r="G88" s="18" t="inlineStr">
        <s:is>
          <s:t>S4-A02,S3-B01</s:t>
        </s:is>
      </s:c>
      <s:c r="H88" s="18" t="inlineStr">
        <s:is>
          <s:t>P0</s:t>
        </s:is>
      </s:c>
      <s:c r="I88" s="18" t="inlineStr">
        <s:is>
          <s:t>Programmer B</s:t>
        </s:is>
      </s:c>
      <s:c r="J88" s="18" t="inlineStr">
        <s:is>
          <s:t>Programmer A</s:t>
        </s:is>
      </s:c>
      <s:c r="K88" s="18" t="n">
        <s:v>11</s:v>
      </s:c>
      <s:c r="L88" s="31" t="inlineStr">
        <s:is>
          <s:t>In Review</s:t>
        </s:is>
      </s:c>
      <s:c r="M88" s="13" t="inlineStr">
        <s:is>
          <s:t>E2E date range/mobile tests</s:t>
        </s:is>
      </s:c>
      <s:c r="N88" s="18" t="inlineStr">
        <s:is>
          <s:t>RG-14</s:t>
        </s:is>
      </s:c>
      <s:c r="O88" s="13" t="inlineStr">
        <s:is>
          <s:t>Scoped brand calendar only.</s:t>
        </s:is>
      </s:c>
      <s:c r="P88" s="18" t="inlineStr">
        <s:is>
          <s:t>calendar UI</s:t>
        </s:is>
      </s:c>
      <s:c r="Q88" s="14">
        <s:f>INDEX('01_ROADMAP'!$C$5:$C$15,MATCH(B88,'01_ROADMAP'!$A$5:$A$15,0))</s:f>
        <s:v>46328.0</s:v>
      </s:c>
      <s:c r="R88" s="14">
        <s:f>INDEX('01_ROADMAP'!$D$5:$D$15,MATCH(B88,'01_ROADMAP'!$A$5:$A$15,0))</s:f>
        <s:v>46341.0</s:v>
      </s:c>
      <s:c r="S88" s="29" t="inlineStr">
        <s:is>
          <s:t>docs/backlog-deep-audit-2026-09-07.json#S4-B02</s:t>
        </s:is>
      </s:c>
      <s:c r="T88" s="13" t="inlineStr">
        <s:is>
          <s:t>FRONTEND</s:t>
        </s:is>
      </s:c>
      <s:c r="U88" s="13" t="inlineStr">
        <s:is>
          <s:t>Content Studio</s:t>
        </s:is>
      </s:c>
      <s:c r="V88" s="13" t="inlineStr">
        <s:is>
          <s:t>GA</s:t>
        </s:is>
      </s:c>
      <s:c r="W88" s="13" t="inlineStr">
        <s:is>
          <s:t>See companion DOCX; use Nuxt UI primitives and shared design system for user-facing tasks.</s:t>
        </s:is>
      </s:c>
      <s:c r="X88" s="13" t="inlineStr">
        <s:is>
          <s:t>Acceptance Criteria + Test Evidence + Release Gate</s:t>
        </s:is>
      </s:c>
      <s:c r="Y88" s="58" t="inlineStr">
        <s:is>
          <s:t>Implementuar — në pranim</s:t>
        </s:is>
      </s:c>
      <s:c r="Z88" s="56" t="inlineStr">
        <s:is>
          <s:t>Kalendari month/week/list, listë me pagination si parazgjedhje, local timezone dhe shenja manual/automatic. E2E desktop/mobile kalon.</s:t>
        </s:is>
      </s:c>
      <s:c r="AA88" s="56" t="inlineStr">
        <s:is>
          <s:t>1. Scope aktual përdor modal për orarin, jo drag. Mbeten pranim i plotë i pamjeve month/week/DST dhe RG-14.</s:t>
        </s:is>
      </s:c>
      <s:c r="AB88" s="56" t="inlineStr">
        <s:is>
          <s:t>Prova e kërkuar nga backlog-u: E2E date range/mobile tests
Kriteri për t'u verifikuar (nuk deklarohet i kaluar): Business timezone/DST fixtures pass. Approved posts can be saved and reloaded in the calendar without Meta. Date changes through the modal cannot bypass approval/content policy. Manual items never publish automatically after a later connection. Month/week/list and mobile core actions are usable.
Pranimi kërkon edhe gate-et: RG-14. Asnjë gate nuk është shënuar Passed nga ky audit.</s:t>
        </s:is>
      </s:c>
      <s:c r="AC88" s="56" t="inlineStr">
        <s:is>
          <s:t>hq-deep-audit-unit.log + hq-deep-audit-registration-meta-e2e.log: transition guards, content/publication scope, manual calendar pa Meta, automatic explicit, DST utility. Nuk provon worker publish real ose Approver role matrix.</s:t>
        </s:is>
      </s:c>
      <s:c r="AD88" s="56" t="inlineStr">
        <s:is>
          <s:t>apps/web/app/pages/app/[org]/[brand]/calendar.vue
apps/web/shared/utils/calendar.ts
apps/web/tests/e2e/optional-meta.spec.ts</s:t>
        </s:is>
      </s:c>
      <s:c r="AE88" s="42" t="inlineStr">
        <s:is>
          <s:t>Kryer në kod — pret pranim/gate</s:t>
        </s:is>
      </s:c>
      <s:c r="AF88" s="42" t="inlineStr">
        <s:is>
          <s:t>Jo për scope-in e rreshtit</s:t>
        </s:is>
      </s:c>
      <s:c r="AG88" s="42" t="inlineStr">
        <s:is>
          <s:t>Po</s:t>
        </s:is>
      </s:c>
      <s:c r="AH88" s="42" t="inlineStr">
        <s:is>
          <s:t>Scope aktual përdor modal për orarin, jo drag. Mbeten pranim i plotë i pamjeve month/week/DST dhe RG-14.</s:t>
        </s:is>
      </s:c>
      <s:c r="AI88" s="42" t="inlineStr">
        <s:is>
          <s:t>docs/backlog-code-handoff-2026-09-08.json#S4-B02</s:t>
        </s:is>
      </s:c>
      <s:c r="AJ88" s="42" t="inlineStr">
        <s:is>
          <s:t>Programmer B / review: Programmer A</s:t>
        </s:is>
      </s:c>
    </s:row>
    <s:row r="89" ht="155.1" customHeight="1" s="48">
      <s:c r="A89" s="17" t="inlineStr">
        <s:is>
          <s:t>S4-B03</s:t>
        </s:is>
      </s:c>
      <s:c r="B89" s="18" t="inlineStr">
        <s:is>
          <s:t>S4</s:t>
        </s:is>
      </s:c>
      <s:c r="C89" s="18" t="inlineStr">
        <s:is>
          <s:t>Scheduling UX</s:t>
        </s:is>
      </s:c>
      <s:c r="D89" s="12" t="inlineStr">
        <s:is>
          <s:t>Build schedule/reschedule modal with timezone</s:t>
        </s:is>
      </s:c>
      <s:c r="E89" s="13" t="inlineStr">
        <s:is>
          <s:t>Create a Nuxt UI schedule modal using business timezone, future/DST validation and an explicit automatic-publication checkbox, off by default. Manual calendar dates require no Meta; automatic mode shows entitlement/provider/worker blockers.</s:t>
        </s:is>
      </s:c>
      <s:c r="F89" s="13" t="inlineStr">
        <s:is>
          <s:t>Ambiguous/nonexistent local times are rejected or resolved explicitly; double submit is safe. Manual dates save without an account and persist after refresh. Automatic publication cannot bypass fresh provider checks or server authorization. Invalid target capability is blocked only for external publishing.</s:t>
        </s:is>
      </s:c>
      <s:c r="G89" s="18" t="inlineStr">
        <s:is>
          <s:t>S4-A02,S2-B06</s:t>
        </s:is>
      </s:c>
      <s:c r="H89" s="18" t="inlineStr">
        <s:is>
          <s:t>P0</s:t>
        </s:is>
      </s:c>
      <s:c r="I89" s="18" t="inlineStr">
        <s:is>
          <s:t>Programmer B</s:t>
        </s:is>
      </s:c>
      <s:c r="J89" s="18" t="inlineStr">
        <s:is>
          <s:t>Programmer A</s:t>
        </s:is>
      </s:c>
      <s:c r="K89" s="18" t="n">
        <s:v>9</s:v>
      </s:c>
      <s:c r="L89" s="31" t="inlineStr">
        <s:is>
          <s:t>In Review</s:t>
        </s:is>
      </s:c>
      <s:c r="M89" s="13" t="inlineStr">
        <s:is>
          <s:t>Timezone/DST E2E fixtures</s:t>
        </s:is>
      </s:c>
      <s:c r="N89" s="18" t="inlineStr">
        <s:is>
          <s:t>RG-07,RG-14</s:t>
        </s:is>
      </s:c>
      <s:c r="O89" s="13" t="inlineStr">
        <s:is>
          <s:t>Server authoritative schedule validation.</s:t>
        </s:is>
      </s:c>
      <s:c r="P89" s="18" t="inlineStr">
        <s:is>
          <s:t>schedule modal</s:t>
        </s:is>
      </s:c>
      <s:c r="Q89" s="14">
        <s:f>INDEX('01_ROADMAP'!$C$5:$C$15,MATCH(B89,'01_ROADMAP'!$A$5:$A$15,0))</s:f>
        <s:v>46328.0</s:v>
      </s:c>
      <s:c r="R89" s="14">
        <s:f>INDEX('01_ROADMAP'!$D$5:$D$15,MATCH(B89,'01_ROADMAP'!$A$5:$A$15,0))</s:f>
        <s:v>46341.0</s:v>
      </s:c>
      <s:c r="S89" s="29" t="inlineStr">
        <s:is>
          <s:t>docs/backlog-deep-audit-2026-09-07.json#S4-B03</s:t>
        </s:is>
      </s:c>
      <s:c r="T89" s="13" t="inlineStr">
        <s:is>
          <s:t>FRONTEND</s:t>
        </s:is>
      </s:c>
      <s:c r="U89" s="13" t="inlineStr">
        <s:is>
          <s:t>Calendar</s:t>
        </s:is>
      </s:c>
      <s:c r="V89" s="13" t="inlineStr">
        <s:is>
          <s:t>GA</s:t>
        </s:is>
      </s:c>
      <s:c r="W89" s="13" t="inlineStr">
        <s:is>
          <s:t>See companion DOCX; use Nuxt UI primitives and shared design system for user-facing tasks.</s:t>
        </s:is>
      </s:c>
      <s:c r="X89" s="13" t="inlineStr">
        <s:is>
          <s:t>Acceptance Criteria + Test Evidence + Release Gate</s:t>
        </s:is>
      </s:c>
      <s:c r="Y89" s="58" t="inlineStr">
        <s:is>
          <s:t>Implementuar — në pranim</s:t>
        </s:is>
      </s:c>
      <s:c r="Z89" s="55" t="inlineStr">
        <s:is>
          <s:t>Modal date/time sipas timezone, guards future/DST, submit i mbrojtur dhe automatic opt-in default off; ruajtja manuale s’kërkon Meta.</s:t>
        </s:is>
      </s:c>
      <s:c r="AA89" s="55" t="inlineStr">
        <s:is>
          <s:t>1. Për rrugën manuale kodi është implementuar dhe provuar; mbetet automatic me account real dhe date/DST browser matrix. RG-07/RG-14 janë ende të hapura.</s:t>
        </s:is>
      </s:c>
      <s:c r="AB89" s="55" t="inlineStr">
        <s:is>
          <s:t>Prova e kërkuar nga backlog-u: Timezone/DST E2E fixtures
Kriteri për t'u verifikuar (nuk deklarohet i kaluar): Ambiguous/nonexistent local times are rejected or resolved explicitly; double submit is safe. Manual dates save without an account and persist after refresh. Automatic publication cannot bypass fresh provider checks or server authorization. Invalid target capability is blocked only for external publishing.
Pranimi kërkon edhe gate-et: RG-07,RG-14. Asnjë gate nuk është shënuar Passed nga ky audit.</s:t>
        </s:is>
      </s:c>
      <s:c r="AC89" s="55" t="inlineStr">
        <s:is>
          <s:t>hq-deep-audit-unit.log + hq-deep-audit-registration-meta-e2e.log: transition guards, content/publication scope, manual calendar pa Meta, automatic explicit, DST utility. Nuk provon worker publish real ose Approver role matrix.</s:t>
        </s:is>
      </s:c>
      <s:c r="AD89" s="55" t="inlineStr">
        <s:is>
          <s:t>apps/web/app/components/ContentEditor.vue
apps/web/shared/utils/format.ts
hq-optional-e2e.log</s:t>
        </s:is>
      </s:c>
      <s:c r="AE89" s="42" t="inlineStr">
        <s:is>
          <s:t>Kryer në kod — pret pranim/gate</s:t>
        </s:is>
      </s:c>
      <s:c r="AF89" s="42" t="inlineStr">
        <s:is>
          <s:t>Jo për scope-in e rreshtit</s:t>
        </s:is>
      </s:c>
      <s:c r="AG89" s="42" t="inlineStr">
        <s:is>
          <s:t>Po</s:t>
        </s:is>
      </s:c>
      <s:c r="AH89" s="42" t="inlineStr">
        <s:is>
          <s:t>Për rrugën manuale kodi është implementuar dhe provuar; mbetet automatic me account real dhe date/DST browser matrix. RG-07/RG-14 janë ende të hapura.</s:t>
        </s:is>
      </s:c>
      <s:c r="AI89" s="42" t="inlineStr">
        <s:is>
          <s:t>docs/backlog-code-handoff-2026-09-08.json#S4-B03</s:t>
        </s:is>
      </s:c>
      <s:c r="AJ89" s="42" t="inlineStr">
        <s:is>
          <s:t>Programmer B / review: Programmer A</s:t>
        </s:is>
      </s:c>
    </s:row>
    <s:row r="90" ht="180" customHeight="1" s="48">
      <s:c r="A90" s="17" t="inlineStr">
        <s:is>
          <s:t>S4-B04</s:t>
        </s:is>
      </s:c>
      <s:c r="B90" s="18" t="inlineStr">
        <s:is>
          <s:t>S4</s:t>
        </s:is>
      </s:c>
      <s:c r="C90" s="18" t="inlineStr">
        <s:is>
          <s:t>Publishing UX</s:t>
        </s:is>
      </s:c>
      <s:c r="D90" s="12" t="inlineStr">
        <s:is>
          <s:t>Build publish status and attempt diagnostics</s:t>
        </s:is>
      </s:c>
      <s:c r="E90" s="13" t="inlineStr">
        <s:is>
          <s:t>Show QUEUED/PUBLISHING/PUBLISHED/BLOCKED/FAILED with safe error codes, timestamps, external link when available and retry/remediation controls.</s:t>
        </s:is>
      </s:c>
      <s:c r="F90" s="13" t="inlineStr">
        <s:is>
          <s:t>No raw token/provider payload; request/attempt ID available to support; retry visible only when allowed.</s:t>
        </s:is>
      </s:c>
      <s:c r="G90" s="18" t="inlineStr">
        <s:is>
          <s:t>S4-A05,S4-A07</s:t>
        </s:is>
      </s:c>
      <s:c r="H90" s="18" t="inlineStr">
        <s:is>
          <s:t>P0</s:t>
        </s:is>
      </s:c>
      <s:c r="I90" s="18" t="inlineStr">
        <s:is>
          <s:t>Programmer B</s:t>
        </s:is>
      </s:c>
      <s:c r="J90" s="18" t="inlineStr">
        <s:is>
          <s:t>Programmer A</s:t>
        </s:is>
      </s:c>
      <s:c r="K90" s="18" t="n">
        <s:v>8</s:v>
      </s:c>
      <s:c r="L90" s="28" t="inlineStr">
        <s:is>
          <s:t>In Progress</s:t>
        </s:is>
      </s:c>
      <s:c r="M90" s="13" t="inlineStr">
        <s:is>
          <s:t>E2E attempt states</s:t>
        </s:is>
      </s:c>
      <s:c r="N90" s="18" t="inlineStr">
        <s:is>
          <s:t>RG-07,RG-10</s:t>
        </s:is>
      </s:c>
      <s:c r="O90" s="13" t="inlineStr">
        <s:is>
          <s:t>Safe diagnostics.</s:t>
        </s:is>
      </s:c>
      <s:c r="P90" s="18" t="inlineStr">
        <s:is>
          <s:t>publication status UI</s:t>
        </s:is>
      </s:c>
      <s:c r="Q90" s="14">
        <s:f>INDEX('01_ROADMAP'!$C$5:$C$15,MATCH(B90,'01_ROADMAP'!$A$5:$A$15,0))</s:f>
        <s:v>46328.0</s:v>
      </s:c>
      <s:c r="R90" s="14">
        <s:f>INDEX('01_ROADMAP'!$D$5:$D$15,MATCH(B90,'01_ROADMAP'!$A$5:$A$15,0))</s:f>
        <s:v>46341.0</s:v>
      </s:c>
      <s:c r="S90" s="29" t="inlineStr">
        <s:is>
          <s:t>docs/backlog-partial-progress-2026-09-08.json#S4-B04</s:t>
        </s:is>
      </s:c>
      <s:c r="T90" s="13" t="inlineStr">
        <s:is>
          <s:t>FRONTEND</s:t>
        </s:is>
      </s:c>
      <s:c r="U90" s="13" t="inlineStr">
        <s:is>
          <s:t>Publishing</s:t>
        </s:is>
      </s:c>
      <s:c r="V90" s="13" t="inlineStr">
        <s:is>
          <s:t>GA</s:t>
        </s:is>
      </s:c>
      <s:c r="W90" s="13" t="inlineStr">
        <s:is>
          <s:t>See companion DOCX; use Nuxt UI primitives and shared design system for user-facing tasks.</s:t>
        </s:is>
      </s:c>
      <s:c r="X90" s="13" t="inlineStr">
        <s:is>
          <s:t>Acceptance Criteria + Test Evidence + Release Gate</s:t>
        </s:is>
      </s:c>
      <s:c r="Y90" s="54" t="inlineStr">
        <s:is>
          <s:t>Pjesërisht</s:t>
        </s:is>
      </s:c>
      <s:c r="Z90" s="56" t="inlineStr">
        <s:is>
          <s:t>Failed ka rikthim në draft ose ri-miratim; uncertain shfaq paralajmërim, link për lidhjen dhe kontroll të sigurt në Meta. Provider/failure ID nuk ekspozon token.</s:t>
        </s:is>
      </s:c>
      <s:c r="AA90" s="56" t="inlineStr">
        <s:is>
          <s:t>Mbeten attempt timeline/support correlation ID, remediation sipas çdo kodi dhe E2E provider states.</s:t>
        </s:is>
      </s:c>
      <s:c r="AB90" s="56" t="inlineStr">
        <s:is>
          <s:t>Prova e kërkuar nga backlog-u: E2E attempt states
Kriteri për t'u verifikuar (nuk deklarohet i kaluar): No raw token/provider payload; request/attempt ID available to support; retry visible only when allowed.
DA-03: E2E për failed të sigurt, media/auth error dhe uncertain; përdoruesi arrin korrigjimin pa shkaktuar publikim të dyfishtë.
Pranimi kërkon edhe gate-et: RG-07,RG-10. Asnjë gate nuk është shënuar Passed nga ky audit.</s:t>
        </s:is>
      </s:c>
      <s:c r="AC90" s="56" t="inlineStr">
        <s:is>
          <s:t>State tests dhe TypeScript/UI checks kaluan; Meta attempt E2E mungon.</s:t>
        </s:is>
      </s:c>
      <s:c r="AD90" s="56" t="inlineStr">
        <s:is>
          <s:t>apps/web/app/components/ContentEditor.vue
apps/web/server/api/posts/[id]/publication.get.ts
apps/web/server/api/posts/[id]/reconcile.post.ts</s:t>
        </s:is>
      </s:c>
      <s:c r="AE90" s="42" t="inlineStr">
        <s:is>
          <s:t>Pjesërisht — kërkon zhvillim</s:t>
        </s:is>
      </s:c>
      <s:c r="AF90" s="42" t="inlineStr">
        <s:is>
          <s:t>Po</s:t>
        </s:is>
      </s:c>
      <s:c r="AG90" s="42" t="inlineStr">
        <s:is>
          <s:t>Po — përzier me punë të jashtme</s:t>
        </s:is>
      </s:c>
      <s:c r="AH90" s="42" t="inlineStr">
        <s:is>
          <s:t>Mbeten attempt timeline/support correlation ID, remediation sipas çdo kodi dhe E2E provider states.</s:t>
        </s:is>
      </s:c>
      <s:c r="AI90" s="42" t="inlineStr">
        <s:is>
          <s:t>docs/backlog-code-handoff-2026-09-08.json#S4-B04</s:t>
        </s:is>
      </s:c>
      <s:c r="AJ90" s="42" t="inlineStr">
        <s:is>
          <s:t>Programmer B / review: Programmer A</s:t>
        </s:is>
      </s:c>
    </s:row>
    <s:row r="91" ht="155.1" customHeight="1" s="48">
      <s:c r="A91" s="17" t="inlineStr">
        <s:is>
          <s:t>S4-B05</s:t>
        </s:is>
      </s:c>
      <s:c r="B91" s="18" t="inlineStr">
        <s:is>
          <s:t>S4</s:t>
        </s:is>
      </s:c>
      <s:c r="C91" s="18" t="inlineStr">
        <s:is>
          <s:t>Notifications UX</s:t>
        </s:is>
      </s:c>
      <s:c r="D91" s="12" t="inlineStr">
        <s:is>
          <s:t>Build notification center and badges</s:t>
        </s:is>
      </s:c>
      <s:c r="E91" s="13" t="inlineStr">
        <s:is>
          <s:t>Create unread badge/feed, mark read, deep links to affected content/integration and preference placeholders.</s:t>
        </s:is>
      </s:c>
      <s:c r="F91" s="13" t="inlineStr">
        <s:is>
          <s:t>Deduped items render once; inaccessible resource deep link fails safely; mobile usable.</s:t>
        </s:is>
      </s:c>
      <s:c r="G91" s="18" t="inlineStr">
        <s:is>
          <s:t>S4-A08</s:t>
        </s:is>
      </s:c>
      <s:c r="H91" s="18" t="inlineStr">
        <s:is>
          <s:t>P1</s:t>
        </s:is>
      </s:c>
      <s:c r="I91" s="18" t="inlineStr">
        <s:is>
          <s:t>Programmer B</s:t>
        </s:is>
      </s:c>
      <s:c r="J91" s="18" t="inlineStr">
        <s:is>
          <s:t>Programmer A</s:t>
        </s:is>
      </s:c>
      <s:c r="K91" s="18" t="n">
        <s:v>7</s:v>
      </s:c>
      <s:c r="L91" s="28" t="inlineStr">
        <s:is>
          <s:t>In Progress</s:t>
        </s:is>
      </s:c>
      <s:c r="M91" s="13" t="inlineStr">
        <s:is>
          <s:t>Component/E2E notification tests</s:t>
        </s:is>
      </s:c>
      <s:c r="N91" s="18" t="inlineStr">
        <s:is>
          <s:t>RG-10,RG-14</s:t>
        </s:is>
      </s:c>
      <s:c r="O91" s="13" t="inlineStr">
        <s:is>
          <s:t>Recipient-scoped queries.</s:t>
        </s:is>
      </s:c>
      <s:c r="P91" s="18" t="inlineStr">
        <s:is>
          <s:t>notification center</s:t>
        </s:is>
      </s:c>
      <s:c r="Q91" s="14">
        <s:f>INDEX('01_ROADMAP'!$C$5:$C$15,MATCH(B91,'01_ROADMAP'!$A$5:$A$15,0))</s:f>
        <s:v>46328.0</s:v>
      </s:c>
      <s:c r="R91" s="14">
        <s:f>INDEX('01_ROADMAP'!$D$5:$D$15,MATCH(B91,'01_ROADMAP'!$A$5:$A$15,0))</s:f>
        <s:v>46341.0</s:v>
      </s:c>
      <s:c r="S91" s="29" t="inlineStr">
        <s:is>
          <s:t>docs/backlog-deep-audit-2026-09-07.json#S4-B05</s:t>
        </s:is>
      </s:c>
      <s:c r="T91" s="13" t="inlineStr">
        <s:is>
          <s:t>FRONTEND</s:t>
        </s:is>
      </s:c>
      <s:c r="U91" s="13" t="inlineStr">
        <s:is>
          <s:t>Notifications</s:t>
        </s:is>
      </s:c>
      <s:c r="V91" s="13" t="inlineStr">
        <s:is>
          <s:t>GA</s:t>
        </s:is>
      </s:c>
      <s:c r="W91" s="13" t="inlineStr">
        <s:is>
          <s:t>See companion DOCX; use Nuxt UI primitives and shared design system for user-facing tasks.</s:t>
        </s:is>
      </s:c>
      <s:c r="X91" s="13" t="inlineStr">
        <s:is>
          <s:t>Acceptance Criteria + Test Evidence + Release Gate</s:t>
        </s:is>
      </s:c>
      <s:c r="Y91" s="54" t="inlineStr">
        <s:is>
          <s:t>Pjesërisht</s:t>
        </s:is>
      </s:c>
      <s:c r="Z91" s="55" t="inlineStr">
        <s:is>
          <s:t>Shell ka panel/badge për postime që presin miratim.</s:t>
        </s:is>
      </s:c>
      <s:c r="AA91" s="55" t="inlineStr">
        <s:is>
          <s:t>1. Nuk ka notification feed me DB records/unread per item/dedupe/mark-read API; badge i postimeve nuk është notification center i plotë.</s:t>
        </s:is>
      </s:c>
      <s:c r="AB91" s="55" t="inlineStr">
        <s:is>
          <s:t>Prova e kërkuar nga backlog-u: Component/E2E notification tests
Kriteri për t'u verifikuar (nuk deklarohet i kaluar): Deduped items render once; inaccessible resource deep link fails safely; mobile usable.
Pranimi kërkon edhe gate-et: RG-10,RG-14. Asnjë gate nuk është shënuar Passed nga ky audit.</s:t>
        </s:is>
      </s:c>
      <s:c r="AC91" s="55" t="inlineStr">
        <s:is>
          <s:t>U rishikuan kodi/artefaktet dhe u kërkua implementimi i kësaj detyre. Nuk ka provë të ekzekutuar specifike që mbyll të gjithë kriterin; kontrollet globale nuk e zëvendësojnë atë.</s:t>
        </s:is>
      </s:c>
      <s:c r="AD91" s="55" t="inlineStr">
        <s:is>
          <s:t>apps/web/app/layouts/dashboard.vue</s:t>
        </s:is>
      </s:c>
      <s:c r="AE91" s="42" t="inlineStr">
        <s:is>
          <s:t>Pjesërisht — kërkon zhvillim</s:t>
        </s:is>
      </s:c>
      <s:c r="AF91" s="42" t="inlineStr">
        <s:is>
          <s:t>Po</s:t>
        </s:is>
      </s:c>
      <s:c r="AG91" s="42" t="inlineStr">
        <s:is>
          <s:t>Po, pas implementimit</s:t>
        </s:is>
      </s:c>
      <s:c r="AH91" s="42" t="inlineStr">
        <s:is>
          <s:t>Nuk ka notification feed me DB records/unread per item/dedupe/mark-read API; badge i postimeve nuk është notification center i plotë.</s:t>
        </s:is>
      </s:c>
      <s:c r="AI91" s="42" t="inlineStr">
        <s:is>
          <s:t>docs/backlog-code-handoff-2026-09-08.json#S4-B05</s:t>
        </s:is>
      </s:c>
      <s:c r="AJ91" s="42" t="inlineStr">
        <s:is>
          <s:t>Programmer B / review: Programmer A</s:t>
        </s:is>
      </s:c>
    </s:row>
    <s:row r="92" ht="180" customHeight="1" s="48">
      <s:c r="A92" s="17" t="inlineStr">
        <s:is>
          <s:t>S4-B06</s:t>
        </s:is>
      </s:c>
      <s:c r="B92" s="18" t="inlineStr">
        <s:is>
          <s:t>S4</s:t>
        </s:is>
      </s:c>
      <s:c r="C92" s="18" t="inlineStr">
        <s:is>
          <s:t>Recovery UX</s:t>
        </s:is>
      </s:c>
      <s:c r="D92" s="12" t="inlineStr">
        <s:is>
          <s:t>Build reconnect/publish failure remediation</s:t>
        </s:is>
      </s:c>
      <s:c r="E92" s="13" t="inlineStr">
        <s:is>
          <s:t>Create guided cards for token revoked, missing permission, invalid media, quota and provider temporary outage; preserve user work.</s:t>
        </s:is>
      </s:c>
      <s:c r="F92" s="13" t="inlineStr">
        <s:is>
          <s:t>Each stable error code maps to actionable text; temporary issue offers retry later; auth issue links reconnect.</s:t>
        </s:is>
      </s:c>
      <s:c r="G92" s="18" t="inlineStr">
        <s:is>
          <s:t>S4-A05,S2-B08</s:t>
        </s:is>
      </s:c>
      <s:c r="H92" s="18" t="inlineStr">
        <s:is>
          <s:t>P0</s:t>
        </s:is>
      </s:c>
      <s:c r="I92" s="18" t="inlineStr">
        <s:is>
          <s:t>Programmer B</s:t>
        </s:is>
      </s:c>
      <s:c r="J92" s="18" t="inlineStr">
        <s:is>
          <s:t>Programmer A</s:t>
        </s:is>
      </s:c>
      <s:c r="K92" s="18" t="n">
        <s:v>7</s:v>
      </s:c>
      <s:c r="L92" s="28" t="inlineStr">
        <s:is>
          <s:t>In Progress</s:t>
        </s:is>
      </s:c>
      <s:c r="M92" s="13" t="inlineStr">
        <s:is>
          <s:t>Error-code UX matrix</s:t>
        </s:is>
      </s:c>
      <s:c r="N92" s="18" t="inlineStr">
        <s:is>
          <s:t>RG-04,RG-14</s:t>
        </s:is>
      </s:c>
      <s:c r="O92" s="13" t="inlineStr">
        <s:is>
          <s:t>No misleading auto-retry.</s:t>
        </s:is>
      </s:c>
      <s:c r="P92" s="18" t="inlineStr">
        <s:is>
          <s:t>remediation UX</s:t>
        </s:is>
      </s:c>
      <s:c r="Q92" s="14">
        <s:f>INDEX('01_ROADMAP'!$C$5:$C$15,MATCH(B92,'01_ROADMAP'!$A$5:$A$15,0))</s:f>
        <s:v>46328.0</s:v>
      </s:c>
      <s:c r="R92" s="14">
        <s:f>INDEX('01_ROADMAP'!$D$5:$D$15,MATCH(B92,'01_ROADMAP'!$A$5:$A$15,0))</s:f>
        <s:v>46341.0</s:v>
      </s:c>
      <s:c r="S92" s="29" t="inlineStr">
        <s:is>
          <s:t>docs/backlog-partial-progress-2026-09-08.json#S4-B06</s:t>
        </s:is>
      </s:c>
      <s:c r="T92" s="13" t="inlineStr">
        <s:is>
          <s:t>FRONTEND</s:t>
        </s:is>
      </s:c>
      <s:c r="U92" s="13" t="inlineStr">
        <s:is>
          <s:t>Publishing</s:t>
        </s:is>
      </s:c>
      <s:c r="V92" s="13" t="inlineStr">
        <s:is>
          <s:t>GA</s:t>
        </s:is>
      </s:c>
      <s:c r="W92" s="13" t="inlineStr">
        <s:is>
          <s:t>See companion DOCX; use Nuxt UI primitives and shared design system for user-facing tasks.</s:t>
        </s:is>
      </s:c>
      <s:c r="X92" s="13" t="inlineStr">
        <s:is>
          <s:t>Acceptance Criteria + Test Evidence + Release Gate</s:t>
        </s:is>
      </s:c>
      <s:c r="Y92" s="54" t="inlineStr">
        <s:is>
          <s:t>Pjesërisht</s:t>
        </s:is>
      </s:c>
      <s:c r="Z92" s="56" t="inlineStr">
        <s:is>
          <s:t>UI ofron failed recovery, uncertain reconciliation dhe reconnect link. Serveri lejon vetëm target-in origjinal dhe nuk ridërgon pa konfirmim unik.</s:t>
        </s:is>
      </s:c>
      <s:c r="AA92" s="56" t="inlineStr">
        <s:is>
          <s:t>Mbetet error-code UX matrix për Retry-After/quota/media/auth dhe provider fault E2E.</s:t>
        </s:is>
      </s:c>
      <s:c r="AB92" s="56" t="inlineStr">
        <s:is>
          <s:t>Prova e kërkuar nga backlog-u: Error-code UX matrix
Kriteri për t'u verifikuar (nuk deklarohet i kaluar): Each stable error code maps to actionable text; temporary issue offers retry later; auth issue links reconnect.
DA-03: E2E për failed të sigurt, media/auth error dhe uncertain; përdoruesi arrin korrigjimin pa shkaktuar publikim të dyfishtë.
DA-04: Timeout pas efektit të jashtëm → uncertain → disconnect → verifikim rezultati → reconnect; ruaj identitetin e target-it dhe mos dyfisho.
Pranimi kërkon edhe gate-et: RG-04,RG-14. Asnjë gate nuk është shënuar Passed nga ky audit.</s:t>
        </s:is>
      </s:c>
      <s:c r="AC92" s="56" t="inlineStr">
        <s:is>
          <s:t>Unit/integration target/match tests + lint/types kaluan; live provider remediation mungon.</s:t>
        </s:is>
      </s:c>
      <s:c r="AD92" s="56" t="inlineStr">
        <s:is>
          <s:t>apps/web/app/components/ContentEditor.vue
apps/web/server/api/meta/callback.get.ts
apps/web/server/api/meta/select.post.ts
apps/web/server/utils/publishing.ts</s:t>
        </s:is>
      </s:c>
      <s:c r="AE92" s="42" t="inlineStr">
        <s:is>
          <s:t>Pjesërisht — kërkon zhvillim</s:t>
        </s:is>
      </s:c>
      <s:c r="AF92" s="42" t="inlineStr">
        <s:is>
          <s:t>Po</s:t>
        </s:is>
      </s:c>
      <s:c r="AG92" s="42" t="inlineStr">
        <s:is>
          <s:t>Po — përzier me punë të jashtme</s:t>
        </s:is>
      </s:c>
      <s:c r="AH92" s="42" t="inlineStr">
        <s:is>
          <s:t>Mbetet error-code UX matrix për Retry-After/quota/media/auth dhe provider fault E2E.</s:t>
        </s:is>
      </s:c>
      <s:c r="AI92" s="42" t="inlineStr">
        <s:is>
          <s:t>docs/backlog-code-handoff-2026-09-08.json#S4-B06</s:t>
        </s:is>
      </s:c>
      <s:c r="AJ92" s="42" t="inlineStr">
        <s:is>
          <s:t>Programmer B / review: Programmer A</s:t>
        </s:is>
      </s:c>
    </s:row>
    <s:row r="93" ht="180" customHeight="1" s="48">
      <s:c r="A93" s="17" t="inlineStr">
        <s:is>
          <s:t>S4-B07</s:t>
        </s:is>
      </s:c>
      <s:c r="B93" s="18" t="inlineStr">
        <s:is>
          <s:t>S4</s:t>
        </s:is>
      </s:c>
      <s:c r="C93" s="18" t="inlineStr">
        <s:is>
          <s:t>Content History</s:t>
        </s:is>
      </s:c>
      <s:c r="D93" s="12" t="inlineStr">
        <s:is>
          <s:t>Complete content activity/version timeline</s:t>
        </s:is>
      </s:c>
      <s:c r="E93" s="13" t="inlineStr">
        <s:is>
          <s:t>Combine generation, version, approval, schedule and publication events into user-facing timeline.</s:t>
        </s:is>
      </s:c>
      <s:c r="F93" s="13" t="inlineStr">
        <s:is>
          <s:t>Timeline ordered and references immutable versions; actor/time shown; sensitive internal fields omitted.</s:t>
        </s:is>
      </s:c>
      <s:c r="G93" s="18" t="inlineStr">
        <s:is>
          <s:t>S4-A01,S4-A07,S3-B06</s:t>
        </s:is>
      </s:c>
      <s:c r="H93" s="18" t="inlineStr">
        <s:is>
          <s:t>P1</s:t>
        </s:is>
      </s:c>
      <s:c r="I93" s="18" t="inlineStr">
        <s:is>
          <s:t>Programmer B</s:t>
        </s:is>
      </s:c>
      <s:c r="J93" s="18" t="inlineStr">
        <s:is>
          <s:t>Programmer A</s:t>
        </s:is>
      </s:c>
      <s:c r="K93" s="18" t="n">
        <s:v>7</s:v>
      </s:c>
      <s:c r="L93" s="28" t="inlineStr">
        <s:is>
          <s:t>In Progress</s:t>
        </s:is>
      </s:c>
      <s:c r="M93" s="13" t="inlineStr">
        <s:is>
          <s:t>E2E timeline fixtures</s:t>
        </s:is>
      </s:c>
      <s:c r="N93" s="18" t="inlineStr">
        <s:is>
          <s:t>RG-10</s:t>
        </s:is>
      </s:c>
      <s:c r="O93" s="13" t="inlineStr">
        <s:is>
          <s:t>Audit-facing UX without exposing secrets.</s:t>
        </s:is>
      </s:c>
      <s:c r="P93" s="18" t="inlineStr">
        <s:is>
          <s:t>content activity timeline</s:t>
        </s:is>
      </s:c>
      <s:c r="Q93" s="14">
        <s:f>INDEX('01_ROADMAP'!$C$5:$C$15,MATCH(B93,'01_ROADMAP'!$A$5:$A$15,0))</s:f>
        <s:v>46328.0</s:v>
      </s:c>
      <s:c r="R93" s="14">
        <s:f>INDEX('01_ROADMAP'!$D$5:$D$15,MATCH(B93,'01_ROADMAP'!$A$5:$A$15,0))</s:f>
        <s:v>46341.0</s:v>
      </s:c>
      <s:c r="S93" s="29" t="inlineStr">
        <s:is>
          <s:t>docs/backlog-partial-progress-2026-09-08.json#S4-B07</s:t>
        </s:is>
      </s:c>
      <s:c r="T93" s="13" t="inlineStr">
        <s:is>
          <s:t>BACKEND</s:t>
        </s:is>
      </s:c>
      <s:c r="U93" s="13" t="inlineStr">
        <s:is>
          <s:t>Content Studio</s:t>
        </s:is>
      </s:c>
      <s:c r="V93" s="13" t="inlineStr">
        <s:is>
          <s:t>GA</s:t>
        </s:is>
      </s:c>
      <s:c r="W93" s="13" t="inlineStr">
        <s:is>
          <s:t>See companion DOCX; use Nuxt UI primitives and shared design system for user-facing tasks.</s:t>
        </s:is>
      </s:c>
      <s:c r="X93" s="13" t="inlineStr">
        <s:is>
          <s:t>Acceptance Criteria + Test Evidence + Release Gate</s:t>
        </s:is>
      </s:c>
      <s:c r="Y93" s="54" t="inlineStr">
        <s:is>
          <s:t>Pjesërisht</s:t>
        </s:is>
      </s:c>
      <s:c r="Z93" s="55" t="inlineStr">
        <s:is>
          <s:t>DB ruan content snapshots, approval actor/time/version, validations dhe publication jobs të lidhura me contentVersion.</s:t>
        </s:is>
      </s:c>
      <s:c r="AA93" s="55" t="inlineStr">
        <s:is>
          <s:t>Mbetet endpoint/UI timeline i unifikuar generation/approval/schedule/publication dhe E2E që kontrollon renditjen/redaction.</s:t>
        </s:is>
      </s:c>
      <s:c r="AB93" s="55" t="inlineStr">
        <s:is>
          <s:t>Prova e kërkuar nga backlog-u: E2E timeline fixtures
Kriteri për t'u verifikuar (nuk deklarohet i kaluar): Timeline ordered and references immutable versions; actor/time shown; sensitive internal fields omitted.
DA-07: Ndrysho fotografi/tekst/kanal pas miratimit; versioni i vjetër mbetet identik dhe approval i vjetër nuk autorizon versionin e ri; provo konkurencën.
Pranimi kërkon edhe gate-et: RG-10. Asnjë gate nuk është shënuar Passed nga ky audit.</s:t>
        </s:is>
      </s:c>
      <s:c r="AC93" s="55" t="inlineStr">
        <s:is>
          <s:t>Integriteti dhe immutability kaluan në integration; timeline UI nuk është ndërtuar.</s:t>
        </s:is>
      </s:c>
      <s:c r="AD93" s="55" t="inlineStr">
        <s:is>
          <s:t>apps/web/database/migrations/0009_immutable_content_versions.sql
apps/web/database/migrations/0010_content_tenant_integrity.sql</s:t>
        </s:is>
      </s:c>
      <s:c r="AE93" s="42" t="inlineStr">
        <s:is>
          <s:t>Pjesërisht — kërkon zhvillim</s:t>
        </s:is>
      </s:c>
      <s:c r="AF93" s="42" t="inlineStr">
        <s:is>
          <s:t>Po</s:t>
        </s:is>
      </s:c>
      <s:c r="AG93" s="42" t="inlineStr">
        <s:is>
          <s:t>Po, pas implementimit</s:t>
        </s:is>
      </s:c>
      <s:c r="AH93" s="42" t="inlineStr">
        <s:is>
          <s:t>Mbetet endpoint/UI timeline i unifikuar generation/approval/schedule/publication dhe E2E që kontrollon renditjen/redaction.</s:t>
        </s:is>
      </s:c>
      <s:c r="AI93" s="42" t="inlineStr">
        <s:is>
          <s:t>docs/backlog-code-handoff-2026-09-08.json#S4-B07</s:t>
        </s:is>
      </s:c>
      <s:c r="AJ93" s="42" t="inlineStr">
        <s:is>
          <s:t>Programmer B / review: Programmer A</s:t>
        </s:is>
      </s:c>
    </s:row>
    <s:row r="94" ht="201" customHeight="1" s="48">
      <s:c r="A94" s="17" t="inlineStr">
        <s:is>
          <s:t>S4-B08</s:t>
        </s:is>
      </s:c>
      <s:c r="B94" s="18" t="inlineStr">
        <s:is>
          <s:t>S4</s:t>
        </s:is>
      </s:c>
      <s:c r="C94" s="18" t="inlineStr">
        <s:is>
          <s:t>Closed Beta E2E</s:t>
        </s:is>
      </s:c>
      <s:c r="D94" s="12" t="inlineStr">
        <s:is>
          <s:t>Automate full business journey</s:t>
        </s:is>
      </s:c>
      <s:c r="E94" s="13" t="inlineStr">
        <s:is>
          <s:t>Create seeded Playwright flow: signup/org/brand -&gt; connect simulated Meta -&gt; upload -&gt; brain -&gt; generate -&gt; approve -&gt; schedule -&gt; simulated publish.</s:t>
        </s:is>
      </s:c>
      <s:c r="F94" s="13" t="inlineStr">
        <s:is>
          <s:t>Flow runs on staging-like CI path and produces trace on failure; data cleanup deterministic.</s:t>
        </s:is>
      </s:c>
      <s:c r="G94" s="18" t="inlineStr">
        <s:is>
          <s:t>S4-B01,S4-B03,S4-B04,S3-B03,S2-B05</s:t>
        </s:is>
      </s:c>
      <s:c r="H94" s="18" t="inlineStr">
        <s:is>
          <s:t>P0</s:t>
        </s:is>
      </s:c>
      <s:c r="I94" s="18" t="inlineStr">
        <s:is>
          <s:t>Programmer B</s:t>
        </s:is>
      </s:c>
      <s:c r="J94" s="18" t="inlineStr">
        <s:is>
          <s:t>Programmer A</s:t>
        </s:is>
      </s:c>
      <s:c r="K94" s="18" t="n">
        <s:v>10</s:v>
      </s:c>
      <s:c r="L94" s="28" t="inlineStr">
        <s:is>
          <s:t>In Progress</s:t>
        </s:is>
      </s:c>
      <s:c r="M94" s="13" t="inlineStr">
        <s:is>
          <s:t>Playwright vertical E2E</s:t>
        </s:is>
      </s:c>
      <s:c r="N94" s="18" t="inlineStr">
        <s:is>
          <s:t>RG-14</s:t>
        </s:is>
      </s:c>
      <s:c r="O94" s="13" t="inlineStr">
        <s:is>
          <s:t>Synthetic provider fixture; no real customer data.</s:t>
        </s:is>
      </s:c>
      <s:c r="P94" s="18" t="inlineStr">
        <s:is>
          <s:t>closed-beta E2E suite</s:t>
        </s:is>
      </s:c>
      <s:c r="Q94" s="14">
        <s:f>INDEX('01_ROADMAP'!$C$5:$C$15,MATCH(B94,'01_ROADMAP'!$A$5:$A$15,0))</s:f>
        <s:v>46328.0</s:v>
      </s:c>
      <s:c r="R94" s="14">
        <s:f>INDEX('01_ROADMAP'!$D$5:$D$15,MATCH(B94,'01_ROADMAP'!$A$5:$A$15,0))</s:f>
        <s:v>46341.0</s:v>
      </s:c>
      <s:c r="S94" s="29" t="inlineStr">
        <s:is>
          <s:t>docs/backlog-deep-audit-2026-09-07.json#S4-B08</s:t>
        </s:is>
      </s:c>
      <s:c r="T94" s="13" t="inlineStr">
        <s:is>
          <s:t>FRONTEND</s:t>
        </s:is>
      </s:c>
      <s:c r="U94" s="13" t="inlineStr">
        <s:is>
          <s:t>Platform</s:t>
        </s:is>
      </s:c>
      <s:c r="V94" s="13" t="inlineStr">
        <s:is>
          <s:t>GA</s:t>
        </s:is>
      </s:c>
      <s:c r="W94" s="13" t="inlineStr">
        <s:is>
          <s:t>See companion DOCX; use Nuxt UI primitives and shared design system for user-facing tasks.</s:t>
        </s:is>
      </s:c>
      <s:c r="X94" s="13" t="inlineStr">
        <s:is>
          <s:t>Acceptance Criteria + Test Evidence + Release Gate</s:t>
        </s:is>
      </s:c>
      <s:c r="Y94" s="54" t="inlineStr">
        <s:is>
          <s:t>Pjesërisht</s:t>
        </s:is>
      </s:c>
      <s:c r="Z94" s="56" t="inlineStr">
        <s:is>
          <s:t>Testet live mbulojnë regjistrim/biznes/upload/private content; optional-meta provon miratim dhe kalendar pa Meta në desktop/mobile.</s:t>
        </s:is>
      </s:c>
      <s:c r="AA94" s="56" t="inlineStr">
        <s:is>
          <s:t>1. Rruga lokale signup→business→upload→review→approval→manual calendar dhe pagination tani kalon në të dy viewport-et. Shto connect→AI→publish me provider fixtures, cleanup determinist dhe CI me DB/staging.
2. DA-08: Përgatit services dhe kredenciale vetëm testuese, zbato migrimet, bëj cleanup të fixture-ve dhe verifiko një run hosted e një PR që dështon me qëllim.
3. DA-17: Gjetja e testit është korrigjuar. Mbetet lokalizimi i emrave aksesues Next Page/Page 2 dhe prova hosted CI e task-eve përkatëse.</s:t>
        </s:is>
      </s:c>
      <s:c r="AB94" s="56" t="inlineStr">
        <s:is>
          <s:t>Prova e kërkuar nga backlog-u: Playwright vertical E2E
Kriteri për t'u verifikuar (nuk deklarohet i kaluar): Flow runs on staging-like CI path and produces trace on failure; data cleanup deterministic.
DA-08: CI nga checkout i pastër kalon testet me DB; heqja e një guard-i e bllokon merge-in. Arkivo raportet pa sekrete.
DA-17: Rerun live.spec.ts: 4/4 desktop/mobile, përfshirë pagination dhe axe në 7 faqe dashboard-i.
Pranimi kërkon edhe gate-et: RG-14. Asnjë gate nuk është shënuar Passed nga ky audit.</s:t>
        </s:is>
      </s:c>
      <s:c r="AC94" s="56"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94" s="56" t="inlineStr">
        <s:is>
          <s:t>apps/web/tests/e2e/live.spec.ts
apps/web/tests/e2e/optional-meta.spec.ts
apps/web/tests/e2e/local-registration.spec.ts
hq-optional-e2e.log
.github/workflows/frontend.yml:18
apps/web/tests/integration/server.test.ts
apps/web/playwright.config.ts:29
apps/web/tests/e2e/live.spec.ts:161
apps/web/app/components/ListPagination.vue:24
DA-08: CI thërret integration/E2E pa provisionim PostgreSQL, SMTP, konfigurim testues dhe migrime. E2E me TEST_BASE_URL përdor preview; kjo nuk i siguron shërbimet. Kalimi lokal nuk provon required checks hosted.
DA-17: sibling-count=0/show-edges=false shfaq vetëm numrin aktual; testi kërkonte butonin 2. Selektori u ndryshua te Next Page pa hequr assertion-in 11–13 nga 13.</s:t>
        </s:is>
      </s:c>
      <s:c r="AE94" s="42" t="inlineStr">
        <s:is>
          <s:t>Pjesërisht — kërkon zhvillim</s:t>
        </s:is>
      </s:c>
      <s:c r="AF94" s="42" t="inlineStr">
        <s:is>
          <s:t>Po</s:t>
        </s:is>
      </s:c>
      <s:c r="AG94" s="42" t="inlineStr">
        <s:is>
          <s:t>Po — përzier me punë të jashtme</s:t>
        </s:is>
      </s:c>
      <s:c r="AH94" s="42" t="inlineStr">
        <s:is>
          <s:t>Rruga lokale signup→business→upload→review→approval→manual calendar dhe pagination tani kalon në të dy viewport-et. Shto connect→AI→publish me provider fixtures, cleanup determinist dhe CI me DB/staging. 2.</s:t>
        </s:is>
      </s:c>
      <s:c r="AI94" s="42" t="inlineStr">
        <s:is>
          <s:t>docs/backlog-code-handoff-2026-09-08.json#S4-B08</s:t>
        </s:is>
      </s:c>
      <s:c r="AJ94" s="42" t="inlineStr">
        <s:is>
          <s:t>Programmer B / review: Programmer A</s:t>
        </s:is>
      </s:c>
    </s:row>
    <s:row r="95" ht="155.1" customHeight="1" s="48">
      <s:c r="A95" s="17" t="inlineStr">
        <s:is>
          <s:t>S4-B09</s:t>
        </s:is>
      </s:c>
      <s:c r="B95" s="18" t="inlineStr">
        <s:is>
          <s:t>S4</s:t>
        </s:is>
      </s:c>
      <s:c r="C95" s="18" t="inlineStr">
        <s:is>
          <s:t>Beta UX</s:t>
        </s:is>
      </s:c>
      <s:c r="D95" s="12" t="inlineStr">
        <s:is>
          <s:t>Run closed-beta usability/polish pass</s:t>
        </s:is>
      </s:c>
      <s:c r="E95" s="13" t="inlineStr">
        <s:is>
          <s:t>Resolve navigation, wording, latency feedback, mobile calendar/content issues discovered in internal 5-business scripted walkthrough.</s:t>
        </s:is>
      </s:c>
      <s:c r="F95" s="13" t="inlineStr">
        <s:is>
          <s:t>No P0/P1 UX blocker in scripted walkthrough; known P2 issues logged with task IDs.</s:t>
        </s:is>
      </s:c>
      <s:c r="G95" s="18" t="inlineStr">
        <s:is>
          <s:t>S4-B08</s:t>
        </s:is>
      </s:c>
      <s:c r="H95" s="18" t="inlineStr">
        <s:is>
          <s:t>P1</s:t>
        </s:is>
      </s:c>
      <s:c r="I95" s="18" t="inlineStr">
        <s:is>
          <s:t>Programmer B</s:t>
        </s:is>
      </s:c>
      <s:c r="J95" s="18" t="inlineStr">
        <s:is>
          <s:t>Programmer A</s:t>
        </s:is>
      </s:c>
      <s:c r="K95" s="18" t="n">
        <s:v>6</s:v>
      </s:c>
      <s:c r="L95" s="30" t="inlineStr">
        <s:is>
          <s:t>Not Started</s:t>
        </s:is>
      </s:c>
      <s:c r="M95" s="13" t="inlineStr">
        <s:is>
          <s:t>Manual scripted UAT + regression</s:t>
        </s:is>
      </s:c>
      <s:c r="N95" s="18" t="inlineStr">
        <s:is>
          <s:t>RG-14</s:t>
        </s:is>
      </s:c>
      <s:c r="O95" s="13" t="inlineStr">
        <s:is>
          <s:t>Use synthetic/test businesses only.</s:t>
        </s:is>
      </s:c>
      <s:c r="P95" s="18" t="inlineStr">
        <s:is>
          <s:t>beta polish report/fixes</s:t>
        </s:is>
      </s:c>
      <s:c r="Q95" s="14">
        <s:f>INDEX('01_ROADMAP'!$C$5:$C$15,MATCH(B95,'01_ROADMAP'!$A$5:$A$15,0))</s:f>
        <s:v>46328.0</s:v>
      </s:c>
      <s:c r="R95" s="14">
        <s:f>INDEX('01_ROADMAP'!$D$5:$D$15,MATCH(B95,'01_ROADMAP'!$A$5:$A$15,0))</s:f>
        <s:v>46341.0</s:v>
      </s:c>
      <s:c r="S95" s="29" t="inlineStr">
        <s:is>
          <s:t>docs/backlog-deep-audit-2026-09-07.json#S4-B09</s:t>
        </s:is>
      </s:c>
      <s:c r="T95" s="13" t="inlineStr">
        <s:is>
          <s:t>FRONTEND</s:t>
        </s:is>
      </s:c>
      <s:c r="U95" s="13" t="inlineStr">
        <s:is>
          <s:t>Platform</s:t>
        </s:is>
      </s:c>
      <s:c r="V95" s="13" t="inlineStr">
        <s:is>
          <s:t>GA</s:t>
        </s:is>
      </s:c>
      <s:c r="W95" s="13" t="inlineStr">
        <s:is>
          <s:t>See companion DOCX; use Nuxt UI primitives and shared design system for user-facing tasks.</s:t>
        </s:is>
      </s:c>
      <s:c r="X95" s="13" t="inlineStr">
        <s:is>
          <s:t>Acceptance Criteria + Test Evidence + Release Gate</s:t>
        </s:is>
      </s:c>
      <s:c r="Y95" s="57" t="inlineStr">
        <s:is>
          <s:t>Pa filluar</s:t>
        </s:is>
      </s:c>
      <s:c r="Z95" s="55" t="inlineStr">
        <s:is>
          <s:t>Ka zhvillim dhe prova automatike lokale, por nuk u gjet raport UAT nga biznese.</s:t>
        </s:is>
      </s:c>
      <s:c r="AA95" s="55" t="inlineStr">
        <s:is>
          <s:t>1. Kryej walkthrough të scriptuar me 5 biznese përfaqësuese, regjistro vështirësitë në navigim/gjuhë/orar dhe mbyll P0/P1; cakto owner/afat për P2.</s:t>
        </s:is>
      </s:c>
      <s:c r="AB95" s="55" t="inlineStr">
        <s:is>
          <s:t>Prova e kërkuar nga backlog-u: Manual scripted UAT + regression
Kriteri për t'u verifikuar (nuk deklarohet i kaluar): No P0/P1 UX blocker in scripted walkthrough; known P2 issues logged with task IDs.
Pranimi kërkon edhe gate-et: RG-14. Asnjë gate nuk është shënuar Passed nga ky audit.</s:t>
        </s:is>
      </s:c>
      <s:c r="AC95" s="55" t="inlineStr">
        <s:is>
          <s:t>U rishikuan kodi/artefaktet dhe u kërkua implementimi i kësaj detyre. Nuk ka provë të ekzekutuar specifike që mbyll të gjithë kriterin; kontrollet globale nuk e zëvendësojnë atë.</s:t>
        </s:is>
      </s:c>
      <s:c r="AD95" s="55" t="inlineStr">
        <s:is>
          <s:t>Nuk u gjet implementim specifik; shiko kriterin dhe hapat në AA/AB.</s:t>
        </s:is>
      </s:c>
      <s:c r="AE95" s="42" t="inlineStr">
        <s:is>
          <s:t>Pa filluar</s:t>
        </s:is>
      </s:c>
      <s:c r="AF95" s="42" t="inlineStr">
        <s:is>
          <s:t>Po</s:t>
        </s:is>
      </s:c>
      <s:c r="AG95" s="42" t="inlineStr">
        <s:is>
          <s:t>Po, pas implementimit</s:t>
        </s:is>
      </s:c>
      <s:c r="AH95" s="42" t="inlineStr">
        <s:is>
          <s:t>Kryej walkthrough të scriptuar me 5 biznese përfaqësuese, regjistro vështirësitë në navigim/gjuhë/orar dhe mbyll P0/P1; cakto owner/afat për P2.</s:t>
        </s:is>
      </s:c>
      <s:c r="AI95" s="42" t="inlineStr">
        <s:is>
          <s:t>docs/backlog-code-handoff-2026-09-08.json#S4-B09</s:t>
        </s:is>
      </s:c>
      <s:c r="AJ95" s="42" t="inlineStr">
        <s:is>
          <s:t>Programmer B / review: Programmer A</s:t>
        </s:is>
      </s:c>
    </s:row>
    <s:row r="96" ht="155.1" customHeight="1" s="48">
      <s:c r="A96" s="17" t="inlineStr">
        <s:is>
          <s:t>S5-A01</s:t>
        </s:is>
      </s:c>
      <s:c r="B96" s="18" t="inlineStr">
        <s:is>
          <s:t>S5</s:t>
        </s:is>
      </s:c>
      <s:c r="C96" s="18" t="inlineStr">
        <s:is>
          <s:t>Analytics</s:t>
        </s:is>
      </s:c>
      <s:c r="D96" s="12" t="inlineStr">
        <s:is>
          <s:t>Implement provider metric synchronization</s:t>
        </s:is>
      </s:c>
      <s:c r="E96" s="13" t="inlineStr">
        <s:is>
          <s:t>Extend Meta reader adapter and jobs for eligible post/account insights with cursor/window checkpoints and rate-aware scheduling.</s:t>
        </s:is>
      </s:c>
      <s:c r="F96" s="13" t="inlineStr">
        <s:is>
          <s:t>Metrics re-fetch is idempotent; unavailable metric stored as unsupported/not zero; 429 respects retry-after.</s:t>
        </s:is>
      </s:c>
      <s:c r="G96" s="18" t="inlineStr">
        <s:is>
          <s:t>S2-A07,S4-A07</s:t>
        </s:is>
      </s:c>
      <s:c r="H96" s="18" t="inlineStr">
        <s:is>
          <s:t>P1</s:t>
        </s:is>
      </s:c>
      <s:c r="I96" s="18" t="inlineStr">
        <s:is>
          <s:t>Programmer A</s:t>
        </s:is>
      </s:c>
      <s:c r="J96" s="18" t="inlineStr">
        <s:is>
          <s:t>Programmer B</s:t>
        </s:is>
      </s:c>
      <s:c r="K96" s="18" t="n">
        <s:v>9</s:v>
      </s:c>
      <s:c r="L96" s="32" t="inlineStr">
        <s:is>
          <s:t>Deferred</s:t>
        </s:is>
      </s:c>
      <s:c r="M96" s="13" t="inlineStr">
        <s:is>
          <s:t>Provider fixtures + incremental sync tests</s:t>
        </s:is>
      </s:c>
      <s:c r="N96" s="18" t="inlineStr">
        <s:is>
          <s:t>RG-11</s:t>
        </s:is>
      </s:c>
      <s:c r="O96" s="13" t="inlineStr">
        <s:is>
          <s:t>Only permitted metrics requested.</s:t>
        </s:is>
      </s:c>
      <s:c r="P96" s="18" t="inlineStr">
        <s:is>
          <s:t>analytics sync worker</s:t>
        </s:is>
      </s:c>
      <s:c r="Q96" s="14">
        <s:f>INDEX('01_ROADMAP'!$C$5:$C$15,MATCH(B96,'01_ROADMAP'!$A$5:$A$15,0))</s:f>
        <s:v>46342.0</s:v>
      </s:c>
      <s:c r="R96" s="14">
        <s:f>INDEX('01_ROADMAP'!$D$5:$D$15,MATCH(B96,'01_ROADMAP'!$A$5:$A$15,0))</s:f>
        <s:v>46355.0</s:v>
      </s:c>
      <s:c r="S96" s="29" t="inlineStr">
        <s:is>
          <s:t>docs/backlog-deep-audit-2026-09-07.json#S5-A01</s:t>
        </s:is>
      </s:c>
      <s:c r="T96" s="13" t="inlineStr">
        <s:is>
          <s:t>BACKEND</s:t>
        </s:is>
      </s:c>
      <s:c r="U96" s="13" t="inlineStr">
        <s:is>
          <s:t>Analytics</s:t>
        </s:is>
      </s:c>
      <s:c r="V96" s="13" t="inlineStr">
        <s:is>
          <s:t>Deferred — posts scope</s:t>
        </s:is>
      </s:c>
      <s:c r="W96" s="13" t="inlineStr">
        <s:is>
          <s:t>N/A / API-domain contract consumed by frontend where applicable.</s:t>
        </s:is>
      </s:c>
      <s:c r="X96" s="13" t="inlineStr">
        <s:is>
          <s:t>Acceptance Criteria + Test Evidence + Release Gate</s:t>
        </s:is>
      </s:c>
      <s:c r="Y96" s="59" t="inlineStr">
        <s:is>
          <s:t>Shtyrë</s:t>
        </s:is>
      </s:c>
      <s:c r="Z96" s="56" t="inlineStr">
        <s:is>
          <s:t>Analytics dhe performance metrics janë shtyrë nga scope-i vetëm për postime.</s:t>
        </s:is>
      </s:c>
      <s:c r="AA96" s="56" t="inlineStr">
        <s:is>
          <s:t>1. Kur rikthehet analytics: jobs për insights të postimit/llogarisë me window/cursor checkpoint, import idempotent dhe Retry-After për 429; unsupported duhet të ruhet veç zero-s.</s:t>
        </s:is>
      </s:c>
      <s:c r="AB96" s="56" t="inlineStr">
        <s:is>
          <s:t>Prova e kërkuar nga backlog-u: Provider fixtures + incremental sync tests
Kriteri për t'u verifikuar (nuk deklarohet i kaluar): Metrics re-fetch is idempotent; unavailable metric stored as unsupported/not zero; 429 respects retry-after.
Pranimi kërkon edhe gate-et: RG-11. Asnjë gate nuk është shënuar Passed nga ky audit.</s:t>
        </s:is>
      </s:c>
      <s:c r="AC96" s="56" t="inlineStr">
        <s:is>
          <s:t>Shtyrë sipas scope-it; nuk është realizuar. Kriteret dhe hapat e këtij rreshti vlejnë kur moduli të rikthehet në scope.</s:t>
        </s:is>
      </s:c>
      <s:c r="AD96" s="56" t="inlineStr">
        <s:is>
          <s:t>Nuk u gjet implementim specifik; shiko kriterin dhe hapat në AA/AB.</s:t>
        </s:is>
      </s:c>
      <s:c r="AE96" s="42" t="inlineStr">
        <s:is>
          <s:t>Shtyrë nga scope-i aktual</s:t>
        </s:is>
      </s:c>
      <s:c r="AF96" s="42" t="inlineStr">
        <s:is>
          <s:t>Jo në scope-in posts-only</s:t>
        </s:is>
      </s:c>
      <s:c r="AG96" s="42" t="inlineStr">
        <s:is>
          <s:t>Jo tani</s:t>
        </s:is>
      </s:c>
      <s:c r="AH96" s="42" t="inlineStr">
        <s:is>
          <s:t>Kur rikthehet analytics: jobs për insights të postimit/llogarisë me window/cursor checkpoint, import idempotent dhe Retry-After për 429; unsupported duhet të ruhet veç zero-s.</s:t>
        </s:is>
      </s:c>
      <s:c r="AI96" s="42" t="inlineStr">
        <s:is>
          <s:t>docs/backlog-code-handoff-2026-09-08.json#S5-A01</s:t>
        </s:is>
      </s:c>
      <s:c r="AJ96" s="42" t="inlineStr">
        <s:is>
          <s:t>Programmer A / review: Programmer B</s:t>
        </s:is>
      </s:c>
    </s:row>
    <s:row r="97" ht="155.1" customHeight="1" s="48">
      <s:c r="A97" s="17" t="inlineStr">
        <s:is>
          <s:t>S5-A02</s:t>
        </s:is>
      </s:c>
      <s:c r="B97" s="18" t="inlineStr">
        <s:is>
          <s:t>S5</s:t>
        </s:is>
      </s:c>
      <s:c r="C97" s="18" t="inlineStr">
        <s:is>
          <s:t>Analytics</s:t>
        </s:is>
      </s:c>
      <s:c r="D97" s="12" t="inlineStr">
        <s:is>
          <s:t>Create normalized metrics and rollup model</s:t>
        </s:is>
      </s:c>
      <s:c r="E97" s="13" t="inlineStr">
        <s:is>
          <s:t>Implement metric_snapshots, key normalization, observed window semantics and rebuildable 7d/30d rollups.</s:t>
        </s:is>
      </s:c>
      <s:c r="F97" s="13" t="inlineStr">
        <s:is>
          <s:t>Raw/provider field change can map without rewriting product query; rollups reproducible from normalized facts.</s:t>
        </s:is>
      </s:c>
      <s:c r="G97" s="18" t="inlineStr">
        <s:is>
          <s:t>S5-A01</s:t>
        </s:is>
      </s:c>
      <s:c r="H97" s="18" t="inlineStr">
        <s:is>
          <s:t>P1</s:t>
        </s:is>
      </s:c>
      <s:c r="I97" s="18" t="inlineStr">
        <s:is>
          <s:t>Programmer A</s:t>
        </s:is>
      </s:c>
      <s:c r="J97" s="18" t="inlineStr">
        <s:is>
          <s:t>Programmer B</s:t>
        </s:is>
      </s:c>
      <s:c r="K97" s="18" t="n">
        <s:v>8</s:v>
      </s:c>
      <s:c r="L97" s="32" t="inlineStr">
        <s:is>
          <s:t>Deferred</s:t>
        </s:is>
      </s:c>
      <s:c r="M97" s="13" t="inlineStr">
        <s:is>
          <s:t>DB aggregation/rebuild tests</s:t>
        </s:is>
      </s:c>
      <s:c r="N97" s="18" t="inlineStr">
        <s:is>
          <s:t>RG-11</s:t>
        </s:is>
      </s:c>
      <s:c r="O97" s="13" t="inlineStr">
        <s:is>
          <s:t>No unsupported causal inference.</s:t>
        </s:is>
      </s:c>
      <s:c r="P97" s="18" t="inlineStr">
        <s:is>
          <s:t>analytics schema/rollups</s:t>
        </s:is>
      </s:c>
      <s:c r="Q97" s="14">
        <s:f>INDEX('01_ROADMAP'!$C$5:$C$15,MATCH(B97,'01_ROADMAP'!$A$5:$A$15,0))</s:f>
        <s:v>46342.0</s:v>
      </s:c>
      <s:c r="R97" s="14">
        <s:f>INDEX('01_ROADMAP'!$D$5:$D$15,MATCH(B97,'01_ROADMAP'!$A$5:$A$15,0))</s:f>
        <s:v>46355.0</s:v>
      </s:c>
      <s:c r="S97" s="29" t="inlineStr">
        <s:is>
          <s:t>docs/backlog-deep-audit-2026-09-07.json#S5-A02</s:t>
        </s:is>
      </s:c>
      <s:c r="T97" s="13" t="inlineStr">
        <s:is>
          <s:t>BACKEND</s:t>
        </s:is>
      </s:c>
      <s:c r="U97" s="13" t="inlineStr">
        <s:is>
          <s:t>Analytics</s:t>
        </s:is>
      </s:c>
      <s:c r="V97" s="13" t="inlineStr">
        <s:is>
          <s:t>Deferred — posts scope</s:t>
        </s:is>
      </s:c>
      <s:c r="W97" s="13" t="inlineStr">
        <s:is>
          <s:t>N/A / API-domain contract consumed by frontend where applicable.</s:t>
        </s:is>
      </s:c>
      <s:c r="X97" s="13" t="inlineStr">
        <s:is>
          <s:t>Acceptance Criteria + Test Evidence + Release Gate</s:t>
        </s:is>
      </s:c>
      <s:c r="Y97" s="59" t="inlineStr">
        <s:is>
          <s:t>Shtyrë</s:t>
        </s:is>
      </s:c>
      <s:c r="Z97" s="55" t="inlineStr">
        <s:is>
          <s:t>Analytics dhe performance metrics janë shtyrë nga scope-i vetëm për postime.</s:t>
        </s:is>
      </s:c>
      <s:c r="AA97" s="55" t="inlineStr">
        <s:is>
          <s:t>1. Kur rikthehet analytics: metric_snapshots, normalizim emrash dhe dritare matjeje, rollups 7d/30d të rindërtueshme nga faktet; provo ndryshimin e fushave të provider-it.</s:t>
        </s:is>
      </s:c>
      <s:c r="AB97" s="55" t="inlineStr">
        <s:is>
          <s:t>Prova e kërkuar nga backlog-u: DB aggregation/rebuild tests
Kriteri për t'u verifikuar (nuk deklarohet i kaluar): Raw/provider field change can map without rewriting product query; rollups reproducible from normalized facts.
Pranimi kërkon edhe gate-et: RG-11. Asnjë gate nuk është shënuar Passed nga ky audit.</s:t>
        </s:is>
      </s:c>
      <s:c r="AC97" s="55" t="inlineStr">
        <s:is>
          <s:t>Shtyrë sipas scope-it; nuk është realizuar. Kriteret dhe hapat e këtij rreshti vlejnë kur moduli të rikthehet në scope.</s:t>
        </s:is>
      </s:c>
      <s:c r="AD97" s="55" t="inlineStr">
        <s:is>
          <s:t>Nuk u gjet implementim specifik; shiko kriterin dhe hapat në AA/AB.</s:t>
        </s:is>
      </s:c>
      <s:c r="AE97" s="42" t="inlineStr">
        <s:is>
          <s:t>Shtyrë nga scope-i aktual</s:t>
        </s:is>
      </s:c>
      <s:c r="AF97" s="42" t="inlineStr">
        <s:is>
          <s:t>Jo në scope-in posts-only</s:t>
        </s:is>
      </s:c>
      <s:c r="AG97" s="42" t="inlineStr">
        <s:is>
          <s:t>Jo tani</s:t>
        </s:is>
      </s:c>
      <s:c r="AH97" s="42" t="inlineStr">
        <s:is>
          <s:t>Kur rikthehet analytics: metric_snapshots, normalizim emrash dhe dritare matjeje, rollups 7d/30d të rindërtueshme nga faktet; provo ndryshimin e fushave të provider-it.</s:t>
        </s:is>
      </s:c>
      <s:c r="AI97" s="42" t="inlineStr">
        <s:is>
          <s:t>docs/backlog-code-handoff-2026-09-08.json#S5-A02</s:t>
        </s:is>
      </s:c>
      <s:c r="AJ97" s="42" t="inlineStr">
        <s:is>
          <s:t>Programmer A / review: Programmer B</s:t>
        </s:is>
      </s:c>
    </s:row>
    <s:row r="98" ht="155.1" customHeight="1" s="48">
      <s:c r="A98" s="17" t="inlineStr">
        <s:is>
          <s:t>S5-A03</s:t>
        </s:is>
      </s:c>
      <s:c r="B98" s="18" t="inlineStr">
        <s:is>
          <s:t>S5</s:t>
        </s:is>
      </s:c>
      <s:c r="C98" s="18" t="inlineStr">
        <s:is>
          <s:t>Analytics</s:t>
        </s:is>
      </s:c>
      <s:c r="D98" s="12" t="inlineStr">
        <s:is>
          <s:t>Build analytics query APIs</s:t>
        </s:is>
      </s:c>
      <s:c r="E98" s="13" t="inlineStr">
        <s:is>
          <s:t>Create summary, per-post and time-series endpoints with entitlement checks, cursor/range bounds and query plans.</s:t>
        </s:is>
      </s:c>
      <s:c r="F98" s="13" t="inlineStr">
        <s:is>
          <s:t>Queries meet staging budget on fixture scale; basic plan cannot access advanced fields; no unbounded date range.</s:t>
        </s:is>
      </s:c>
      <s:c r="G98" s="18" t="inlineStr">
        <s:is>
          <s:t>S5-A02,S1-A07</s:t>
        </s:is>
      </s:c>
      <s:c r="H98" s="18" t="inlineStr">
        <s:is>
          <s:t>P1</s:t>
        </s:is>
      </s:c>
      <s:c r="I98" s="18" t="inlineStr">
        <s:is>
          <s:t>Programmer A</s:t>
        </s:is>
      </s:c>
      <s:c r="J98" s="18" t="inlineStr">
        <s:is>
          <s:t>Programmer B</s:t>
        </s:is>
      </s:c>
      <s:c r="K98" s="18" t="n">
        <s:v>7</s:v>
      </s:c>
      <s:c r="L98" s="32" t="inlineStr">
        <s:is>
          <s:t>Deferred</s:t>
        </s:is>
      </s:c>
      <s:c r="M98" s="13" t="inlineStr">
        <s:is>
          <s:t>API entitlement + performance tests</s:t>
        </s:is>
      </s:c>
      <s:c r="N98" s="18" t="inlineStr">
        <s:is>
          <s:t>RG-08,RG-11</s:t>
        </s:is>
      </s:c>
      <s:c r="O98" s="13" t="inlineStr">
        <s:is>
          <s:t>Tenant/brand scope enforced.</s:t>
        </s:is>
      </s:c>
      <s:c r="P98" s="18" t="inlineStr">
        <s:is>
          <s:t>analytics API</s:t>
        </s:is>
      </s:c>
      <s:c r="Q98" s="14">
        <s:f>INDEX('01_ROADMAP'!$C$5:$C$15,MATCH(B98,'01_ROADMAP'!$A$5:$A$15,0))</s:f>
        <s:v>46342.0</s:v>
      </s:c>
      <s:c r="R98" s="14">
        <s:f>INDEX('01_ROADMAP'!$D$5:$D$15,MATCH(B98,'01_ROADMAP'!$A$5:$A$15,0))</s:f>
        <s:v>46355.0</s:v>
      </s:c>
      <s:c r="S98" s="29" t="inlineStr">
        <s:is>
          <s:t>docs/backlog-deep-audit-2026-09-07.json#S5-A03</s:t>
        </s:is>
      </s:c>
      <s:c r="T98" s="13" t="inlineStr">
        <s:is>
          <s:t>BACKEND</s:t>
        </s:is>
      </s:c>
      <s:c r="U98" s="13" t="inlineStr">
        <s:is>
          <s:t>Analytics</s:t>
        </s:is>
      </s:c>
      <s:c r="V98" s="13" t="inlineStr">
        <s:is>
          <s:t>Deferred — posts scope</s:t>
        </s:is>
      </s:c>
      <s:c r="W98" s="13" t="inlineStr">
        <s:is>
          <s:t>N/A / API-domain contract consumed by frontend where applicable.</s:t>
        </s:is>
      </s:c>
      <s:c r="X98" s="13" t="inlineStr">
        <s:is>
          <s:t>Acceptance Criteria + Test Evidence + Release Gate</s:t>
        </s:is>
      </s:c>
      <s:c r="Y98" s="59" t="inlineStr">
        <s:is>
          <s:t>Shtyrë</s:t>
        </s:is>
      </s:c>
      <s:c r="Z98" s="56" t="inlineStr">
        <s:is>
          <s:t>Analytics dhe performance metrics janë shtyrë nga scope-i vetëm për postime.</s:t>
        </s:is>
      </s:c>
      <s:c r="AA98" s="56" t="inlineStr">
        <s:is>
          <s:t>1. Kur rikthehet analytics: summary/per-post/time-series API me entitlement, kufij kohe/cursor dhe plane query. Provo Basic kundrejt fushave advanced dhe dataset të madh.</s:t>
        </s:is>
      </s:c>
      <s:c r="AB98" s="56" t="inlineStr">
        <s:is>
          <s:t>Prova e kërkuar nga backlog-u: API entitlement + performance tests
Kriteri për t'u verifikuar (nuk deklarohet i kaluar): Queries meet staging budget on fixture scale; basic plan cannot access advanced fields; no unbounded date range.
Pranimi kërkon edhe gate-et: RG-08,RG-11. Asnjë gate nuk është shënuar Passed nga ky audit.</s:t>
        </s:is>
      </s:c>
      <s:c r="AC98" s="56" t="inlineStr">
        <s:is>
          <s:t>Shtyrë sipas scope-it; nuk është realizuar. Kriteret dhe hapat e këtij rreshti vlejnë kur moduli të rikthehet në scope.</s:t>
        </s:is>
      </s:c>
      <s:c r="AD98" s="56" t="inlineStr">
        <s:is>
          <s:t>Nuk u gjet implementim specifik; shiko kriterin dhe hapat në AA/AB.</s:t>
        </s:is>
      </s:c>
      <s:c r="AE98" s="42" t="inlineStr">
        <s:is>
          <s:t>Shtyrë nga scope-i aktual</s:t>
        </s:is>
      </s:c>
      <s:c r="AF98" s="42" t="inlineStr">
        <s:is>
          <s:t>Jo në scope-in posts-only</s:t>
        </s:is>
      </s:c>
      <s:c r="AG98" s="42" t="inlineStr">
        <s:is>
          <s:t>Jo tani</s:t>
        </s:is>
      </s:c>
      <s:c r="AH98" s="42" t="inlineStr">
        <s:is>
          <s:t>Kur rikthehet analytics: summary/per-post/time-series API me entitlement, kufij kohe/cursor dhe plane query. Provo Basic kundrejt fushave advanced dhe dataset të madh.</s:t>
        </s:is>
      </s:c>
      <s:c r="AI98" s="42" t="inlineStr">
        <s:is>
          <s:t>docs/backlog-code-handoff-2026-09-08.json#S5-A03</s:t>
        </s:is>
      </s:c>
      <s:c r="AJ98" s="42" t="inlineStr">
        <s:is>
          <s:t>Programmer A / review: Programmer B</s:t>
        </s:is>
      </s:c>
    </s:row>
    <s:row r="99" ht="155.1" customHeight="1" s="48">
      <s:c r="A99" s="17" t="inlineStr">
        <s:is>
          <s:t>S5-A04</s:t>
        </s:is>
      </s:c>
      <s:c r="B99" s="18" t="inlineStr">
        <s:is>
          <s:t>S5</s:t>
        </s:is>
      </s:c>
      <s:c r="C99" s="18" t="inlineStr">
        <s:is>
          <s:t>Billing</s:t>
        </s:is>
      </s:c>
      <s:c r="D99" s="12" t="inlineStr">
        <s:is>
          <s:t>Select and implement first billing provider adapter</s:t>
        </s:is>
      </s:c>
      <s:c r="E99" s="13" t="inlineStr">
        <s:is>
          <s:t>Create ADR-013 after merchant/legal capability check, then implement checkout/subscription/portal adapter behind BillingGateway.</s:t>
        </s:is>
      </s:c>
      <s:c r="F99" s="13" t="inlineStr">
        <s:is>
          <s:t>Core billing tests run with fake adapter; selected live/test provider can create session and normalize subscription IDs without leaking provider types.</s:t>
        </s:is>
      </s:c>
      <s:c r="G99" s="18" t="inlineStr">
        <s:is>
          <s:t>S1-A07</s:t>
        </s:is>
      </s:c>
      <s:c r="H99" s="18" t="inlineStr">
        <s:is>
          <s:t>P0</s:t>
        </s:is>
      </s:c>
      <s:c r="I99" s="18" t="inlineStr">
        <s:is>
          <s:t>Programmer A</s:t>
        </s:is>
      </s:c>
      <s:c r="J99" s="18" t="inlineStr">
        <s:is>
          <s:t>Programmer B</s:t>
        </s:is>
      </s:c>
      <s:c r="K99" s="18" t="n">
        <s:v>9</s:v>
      </s:c>
      <s:c r="L99" s="30" t="inlineStr">
        <s:is>
          <s:t>Not Started</s:t>
        </s:is>
      </s:c>
      <s:c r="M99" s="13" t="inlineStr">
        <s:is>
          <s:t>Adapter contract + provider sandbox test</s:t>
        </s:is>
      </s:c>
      <s:c r="N99" s="18" t="inlineStr">
        <s:is>
          <s:t>RG-08</s:t>
        </s:is>
      </s:c>
      <s:c r="O99" s="13" t="inlineStr">
        <s:is>
          <s:t>Provider secrets server-side only.</s:t>
        </s:is>
      </s:c>
      <s:c r="P99" s="18" t="inlineStr">
        <s:is>
          <s:t>ADR-013 + billing adapter</s:t>
        </s:is>
      </s:c>
      <s:c r="Q99" s="14">
        <s:f>INDEX('01_ROADMAP'!$C$5:$C$15,MATCH(B99,'01_ROADMAP'!$A$5:$A$15,0))</s:f>
        <s:v>46342.0</s:v>
      </s:c>
      <s:c r="R99" s="14">
        <s:f>INDEX('01_ROADMAP'!$D$5:$D$15,MATCH(B99,'01_ROADMAP'!$A$5:$A$15,0))</s:f>
        <s:v>46355.0</s:v>
      </s:c>
      <s:c r="S99" s="29" t="inlineStr">
        <s:is>
          <s:t>docs/backlog-deep-audit-2026-09-07.json#S5-A04</s:t>
        </s:is>
      </s:c>
      <s:c r="T99" s="13" t="inlineStr">
        <s:is>
          <s:t>BILLING</s:t>
        </s:is>
      </s:c>
      <s:c r="U99" s="13" t="inlineStr">
        <s:is>
          <s:t>Billing</s:t>
        </s:is>
      </s:c>
      <s:c r="V99" s="13" t="inlineStr">
        <s:is>
          <s:t>GA</s:t>
        </s:is>
      </s:c>
      <s:c r="W99" s="13" t="inlineStr">
        <s:is>
          <s:t>N/A / API-domain contract consumed by frontend where applicable.</s:t>
        </s:is>
      </s:c>
      <s:c r="X99" s="13" t="inlineStr">
        <s:is>
          <s:t>Acceptance Criteria + Test Evidence + Release Gate</s:t>
        </s:is>
      </s:c>
      <s:c r="Y99" s="57" t="inlineStr">
        <s:is>
          <s:t>Pa filluar</s:t>
        </s:is>
      </s:c>
      <s:c r="Z99" s="55" t="inlineStr">
        <s:is>
          <s:t>Katalogu i çmimeve ekziston, por nuk ka payment adapter ose billing webhook.</s:t>
        </s:is>
      </s:c>
      <s:c r="AA99" s="55" t="inlineStr">
        <s:is>
          <s:t>1. Dokumento zgjedhjen e ofruesit sipas subjektit operues në Kosovë; zbato BillingGateway për checkout/subscription/portal me fake adapter dhe sandbox. Mos rrjedh provider types në domain.</s:t>
        </s:is>
      </s:c>
      <s:c r="AB99" s="55" t="inlineStr">
        <s:is>
          <s:t>Prova e kërkuar nga backlog-u: Adapter contract + provider sandbox test
Kriteri për t'u verifikuar (nuk deklarohet i kaluar): Core billing tests run with fake adapter; selected live/test provider can create session and normalize subscription IDs without leaking provider types.
Pranimi kërkon edhe gate-et: RG-08. Asnjë gate nuk është shënuar Passed nga ky audit.</s:t>
        </s:is>
      </s:c>
      <s:c r="AC99" s="55" t="inlineStr">
        <s:is>
          <s:t>U rishikuan kodi/artefaktet dhe u kërkua implementimi i kësaj detyre. Nuk ka provë të ekzekutuar specifike që mbyll të gjithë kriterin; kontrollet globale nuk e zëvendësojnë atë.</s:t>
        </s:is>
      </s:c>
      <s:c r="AD99" s="55" t="inlineStr">
        <s:is>
          <s:t>Nuk u gjet implementim specifik; shiko kriterin dhe hapat në AA/AB.</s:t>
        </s:is>
      </s:c>
      <s:c r="AE99" s="42" t="inlineStr">
        <s:is>
          <s:t>Pa filluar</s:t>
        </s:is>
      </s:c>
      <s:c r="AF99" s="42" t="inlineStr">
        <s:is>
          <s:t>Po</s:t>
        </s:is>
      </s:c>
      <s:c r="AG99" s="42" t="inlineStr">
        <s:is>
          <s:t>Po, pas implementimit</s:t>
        </s:is>
      </s:c>
      <s:c r="AH99" s="42" t="inlineStr">
        <s:is>
          <s:t>Dokumento zgjedhjen e ofruesit sipas subjektit operues në Kosovë; zbato BillingGateway për checkout/subscription/portal me fake adapter dhe sandbox. Mos rrjedh provider types në domain.</s:t>
        </s:is>
      </s:c>
      <s:c r="AI99" s="42" t="inlineStr">
        <s:is>
          <s:t>docs/backlog-code-handoff-2026-09-08.json#S5-A04</s:t>
        </s:is>
      </s:c>
      <s:c r="AJ99" s="42" t="inlineStr">
        <s:is>
          <s:t>Programmer A / review: Programmer B</s:t>
        </s:is>
      </s:c>
    </s:row>
    <s:row r="100" ht="155.1" customHeight="1" s="48">
      <s:c r="A100" s="17" t="inlineStr">
        <s:is>
          <s:t>S5-A05</s:t>
        </s:is>
      </s:c>
      <s:c r="B100" s="18" t="inlineStr">
        <s:is>
          <s:t>S5</s:t>
        </s:is>
      </s:c>
      <s:c r="C100" s="18" t="inlineStr">
        <s:is>
          <s:t>Billing</s:t>
        </s:is>
      </s:c>
      <s:c r="D100" s="12" t="inlineStr">
        <s:is>
          <s:t>Implement verified billing webhook processing</s:t>
        </s:is>
      </s:c>
      <s:c r="E100" s="13" t="inlineStr">
        <s:is>
          <s:t>Verify provider signature, store event fingerprint, process idempotently and map active/past_due/cancelled/period transitions.</s:t>
        </s:is>
      </s:c>
      <s:c r="F100" s="13" t="inlineStr">
        <s:is>
          <s:t>Replay processes once; bad signature denied; out-of-order known events do not corrupt newer subscription state.</s:t>
        </s:is>
      </s:c>
      <s:c r="G100" s="18" t="inlineStr">
        <s:is>
          <s:t>S5-A04,S0-A08</s:t>
        </s:is>
      </s:c>
      <s:c r="H100" s="18" t="inlineStr">
        <s:is>
          <s:t>P0</s:t>
        </s:is>
      </s:c>
      <s:c r="I100" s="18" t="inlineStr">
        <s:is>
          <s:t>Programmer A</s:t>
        </s:is>
      </s:c>
      <s:c r="J100" s="18" t="inlineStr">
        <s:is>
          <s:t>Programmer B</s:t>
        </s:is>
      </s:c>
      <s:c r="K100" s="18" t="n">
        <s:v>7</s:v>
      </s:c>
      <s:c r="L100" s="30" t="inlineStr">
        <s:is>
          <s:t>Not Started</s:t>
        </s:is>
      </s:c>
      <s:c r="M100" s="13" t="inlineStr">
        <s:is>
          <s:t>Webhook replay/order tests</s:t>
        </s:is>
      </s:c>
      <s:c r="N100" s="18" t="inlineStr">
        <s:is>
          <s:t>RG-08</s:t>
        </s:is>
      </s:c>
      <s:c r="O100" s="13" t="inlineStr">
        <s:is>
          <s:t>Untrusted webhook ingress.</s:t>
        </s:is>
      </s:c>
      <s:c r="P100" s="18" t="inlineStr">
        <s:is>
          <s:t>billing webhook processor</s:t>
        </s:is>
      </s:c>
      <s:c r="Q100" s="14">
        <s:f>INDEX('01_ROADMAP'!$C$5:$C$15,MATCH(B100,'01_ROADMAP'!$A$5:$A$15,0))</s:f>
        <s:v>46342.0</s:v>
      </s:c>
      <s:c r="R100" s="14">
        <s:f>INDEX('01_ROADMAP'!$D$5:$D$15,MATCH(B100,'01_ROADMAP'!$A$5:$A$15,0))</s:f>
        <s:v>46355.0</s:v>
      </s:c>
      <s:c r="S100" s="29" t="inlineStr">
        <s:is>
          <s:t>docs/backlog-deep-audit-2026-09-07.json#S5-A05</s:t>
        </s:is>
      </s:c>
      <s:c r="T100" s="13" t="inlineStr">
        <s:is>
          <s:t>META</s:t>
        </s:is>
      </s:c>
      <s:c r="U100" s="13" t="inlineStr">
        <s:is>
          <s:t>Billing</s:t>
        </s:is>
      </s:c>
      <s:c r="V100" s="13" t="inlineStr">
        <s:is>
          <s:t>GA</s:t>
        </s:is>
      </s:c>
      <s:c r="W100" s="13" t="inlineStr">
        <s:is>
          <s:t>N/A / API-domain contract consumed by frontend where applicable.</s:t>
        </s:is>
      </s:c>
      <s:c r="X100" s="13" t="inlineStr">
        <s:is>
          <s:t>Acceptance Criteria + Test Evidence + Release Gate</s:t>
        </s:is>
      </s:c>
      <s:c r="Y100" s="57" t="inlineStr">
        <s:is>
          <s:t>Pa filluar</s:t>
        </s:is>
      </s:c>
      <s:c r="Z100" s="56" t="inlineStr">
        <s:is>
          <s:t>Katalogu i çmimeve ekziston, por nuk ka payment adapter ose billing webhook.</s:t>
        </s:is>
      </s:c>
      <s:c r="AA100" s="56" t="inlineStr">
        <s:is>
          <s:t>1. Pas zgjedhjes së provider-it: verifiko signature, ruaj fingerprint dhe përpuno eventet billing me idempotency/order guards; active/past_due/cancelled/period nuk duhet të kthehen mbrapa nga event i vjetër.</s:t>
        </s:is>
      </s:c>
      <s:c r="AB100" s="56" t="inlineStr">
        <s:is>
          <s:t>Prova e kërkuar nga backlog-u: Webhook replay/order tests
Kriteri për t'u verifikuar (nuk deklarohet i kaluar): Replay processes once; bad signature denied; out-of-order known events do not corrupt newer subscription state.
Pranimi kërkon edhe gate-et: RG-08. Asnjë gate nuk është shënuar Passed nga ky audit.</s:t>
        </s:is>
      </s:c>
      <s:c r="AC100" s="56" t="inlineStr">
        <s:is>
          <s:t>U rishikuan kodi/artefaktet dhe u kërkua implementimi i kësaj detyre. Nuk ka provë të ekzekutuar specifike që mbyll të gjithë kriterin; kontrollet globale nuk e zëvendësojnë atë.</s:t>
        </s:is>
      </s:c>
      <s:c r="AD100" s="56" t="inlineStr">
        <s:is>
          <s:t>Nuk u gjet implementim specifik; shiko kriterin dhe hapat në AA/AB.</s:t>
        </s:is>
      </s:c>
      <s:c r="AE100" s="42" t="inlineStr">
        <s:is>
          <s:t>Pa filluar</s:t>
        </s:is>
      </s:c>
      <s:c r="AF100" s="42" t="inlineStr">
        <s:is>
          <s:t>Po</s:t>
        </s:is>
      </s:c>
      <s:c r="AG100" s="42" t="inlineStr">
        <s:is>
          <s:t>Po, pas implementimit</s:t>
        </s:is>
      </s:c>
      <s:c r="AH100" s="42" t="inlineStr">
        <s:is>
          <s:t>Pas zgjedhjes së provider-it: verifiko signature, ruaj fingerprint dhe përpuno eventet billing me idempotency/order guards; active/past_due/cancelled/period nuk duhet të kthehen mbrapa nga event i vjetër.</s:t>
        </s:is>
      </s:c>
      <s:c r="AI100" s="42" t="inlineStr">
        <s:is>
          <s:t>docs/backlog-code-handoff-2026-09-08.json#S5-A05</s:t>
        </s:is>
      </s:c>
      <s:c r="AJ100" s="42" t="inlineStr">
        <s:is>
          <s:t>Programmer A / review: Programmer B</s:t>
        </s:is>
      </s:c>
    </s:row>
    <s:row r="101" ht="180" customHeight="1" s="48">
      <s:c r="A101" s="17" t="inlineStr">
        <s:is>
          <s:t>S5-A06</s:t>
        </s:is>
      </s:c>
      <s:c r="B101" s="18" t="inlineStr">
        <s:is>
          <s:t>S5</s:t>
        </s:is>
      </s:c>
      <s:c r="C101" s="18" t="inlineStr">
        <s:is>
          <s:t>Entitlements</s:t>
        </s:is>
      </s:c>
      <s:c r="D101" s="12" t="inlineStr">
        <s:is>
          <s:t>Enforce plans across server workflows</s:t>
        </s:is>
      </s:c>
      <s:c r="E101" s="13" t="inlineStr">
        <s:is>
          <s:t>Apply EntitlementService to brands/members/social accounts/generation/auto-publish/analytics/storage with centralized typed denial.</s:t>
        </s:is>
      </s:c>
      <s:c r="F101" s="13" t="inlineStr">
        <s:is>
          <s:t>Feature endpoints cannot bypass limits; downgrade behavior defined; UI receives stable entitlement code/current/limit.</s:t>
        </s:is>
      </s:c>
      <s:c r="G101" s="18" t="inlineStr">
        <s:is>
          <s:t>S1-A07,S3-A08,S4-A02,S5-A03</s:t>
        </s:is>
      </s:c>
      <s:c r="H101" s="18" t="inlineStr">
        <s:is>
          <s:t>P0</s:t>
        </s:is>
      </s:c>
      <s:c r="I101" s="18" t="inlineStr">
        <s:is>
          <s:t>Programmer A</s:t>
        </s:is>
      </s:c>
      <s:c r="J101" s="18" t="inlineStr">
        <s:is>
          <s:t>Programmer B</s:t>
        </s:is>
      </s:c>
      <s:c r="K101" s="18" t="n">
        <s:v>8</s:v>
      </s:c>
      <s:c r="L101" s="28" t="inlineStr">
        <s:is>
          <s:t>In Progress</s:t>
        </s:is>
      </s:c>
      <s:c r="M101" s="13" t="inlineStr">
        <s:is>
          <s:t>Parameterized entitlement matrix</s:t>
        </s:is>
      </s:c>
      <s:c r="N101" s="18" t="inlineStr">
        <s:is>
          <s:t>RG-08</s:t>
        </s:is>
      </s:c>
      <s:c r="O101" s="13" t="inlineStr">
        <s:is>
          <s:t>Server authoritative.</s:t>
        </s:is>
      </s:c>
      <s:c r="P101" s="18" t="inlineStr">
        <s:is>
          <s:t>entitlement enforcement</s:t>
        </s:is>
      </s:c>
      <s:c r="Q101" s="14">
        <s:f>INDEX('01_ROADMAP'!$C$5:$C$15,MATCH(B101,'01_ROADMAP'!$A$5:$A$15,0))</s:f>
        <s:v>46342.0</s:v>
      </s:c>
      <s:c r="R101" s="14">
        <s:f>INDEX('01_ROADMAP'!$D$5:$D$15,MATCH(B101,'01_ROADMAP'!$A$5:$A$15,0))</s:f>
        <s:v>46355.0</s:v>
      </s:c>
      <s:c r="S101" s="29" t="inlineStr">
        <s:is>
          <s:t>docs/backlog-partial-progress-2026-09-08.json#S5-A06</s:t>
        </s:is>
      </s:c>
      <s:c r="T101" s="13" t="inlineStr">
        <s:is>
          <s:t>BILLING</s:t>
        </s:is>
      </s:c>
      <s:c r="U101" s="13" t="inlineStr">
        <s:is>
          <s:t>Platform</s:t>
        </s:is>
      </s:c>
      <s:c r="V101" s="13" t="inlineStr">
        <s:is>
          <s:t>GA</s:t>
        </s:is>
      </s:c>
      <s:c r="W101" s="13" t="inlineStr">
        <s:is>
          <s:t>N/A / API-domain contract consumed by frontend where applicable.</s:t>
        </s:is>
      </s:c>
      <s:c r="X101" s="13" t="inlineStr">
        <s:is>
          <s:t>Acceptance Criteria + Test Evidence + Release Gate</s:t>
        </s:is>
      </s:c>
      <s:c r="Y101" s="54" t="inlineStr">
        <s:is>
          <s:t>Pjesërisht</s:t>
        </s:is>
      </s:c>
      <s:c r="Z101" s="55" t="inlineStr">
        <s:is>
          <s:t>Endpoint-et server kërkojnë feature entitlement dhe kufijtë posts/media/AI lexohen nga plani aktiv. Denial-i kthen kod të qëndrueshëm; /api/usage kthen current/limit/state për çdo quota key.</s:t>
        </s:is>
      </s:c>
      <s:c r="AA101" s="55" t="inlineStr">
        <s:is>
          <s:t>Mbeten downgrade state machine, members enforcement dhe matrica e parametrizuar për çdo plan/endpoint; RG-08 nuk është kaluar.</s:t>
        </s:is>
      </s:c>
      <s:c r="AB101" s="55" t="inlineStr">
        <s:is>
          <s:t>Prova e kërkuar nga backlog-u: Parameterized entitlement matrix
Kriteri për t'u verifikuar (nuk deklarohet i kaluar): Feature endpoints cannot bypass limits; downgrade behavior defined; UI receives stable entitlement code/current/limit.
DA-15: Për çdo plan/version provo features/limits të shfaqura kundrejt serverit, konfigurim të pavlefshëm, downgrade dhe expiry; pagesat kërkojnë sandbox më vete.
Pranimi kërkon edhe gate-et: RG-08. Asnjë gate nuk është shënuar Passed nga ky audit.</s:t>
        </s:is>
      </s:c>
      <s:c r="AC101" s="55" t="inlineStr">
        <s:is>
          <s:t>DB tests provojnë planin e tipizuar, expiry dhe feature denial; public plan catalog dhe usage schema kalojnë typecheck.</s:t>
        </s:is>
      </s:c>
      <s:c r="AD101" s="55" t="inlineStr">
        <s:is>
          <s:t>apps/web/database/migrations/0011_typed_plan_catalog.sql
apps/web/server/utils/trials.ts
apps/web/server/api/usage.get.ts
apps/web/server/api/workspaces/[id].put.ts</s:t>
        </s:is>
      </s:c>
      <s:c r="AE101" s="42" t="inlineStr">
        <s:is>
          <s:t>Pjesërisht — kërkon zhvillim</s:t>
        </s:is>
      </s:c>
      <s:c r="AF101" s="42" t="inlineStr">
        <s:is>
          <s:t>Po</s:t>
        </s:is>
      </s:c>
      <s:c r="AG101" s="42" t="inlineStr">
        <s:is>
          <s:t>Po — përzier me punë të jashtme</s:t>
        </s:is>
      </s:c>
      <s:c r="AH101" s="42" t="inlineStr">
        <s:is>
          <s:t>Mbeten downgrade state machine, members enforcement dhe matrica e parametrizuar për çdo plan/endpoint; RG-08 nuk është kaluar.</s:t>
        </s:is>
      </s:c>
      <s:c r="AI101" s="42" t="inlineStr">
        <s:is>
          <s:t>docs/backlog-code-handoff-2026-09-08.json#S5-A06</s:t>
        </s:is>
      </s:c>
      <s:c r="AJ101" s="42" t="inlineStr">
        <s:is>
          <s:t>Programmer A / review: Programmer B</s:t>
        </s:is>
      </s:c>
    </s:row>
    <s:row r="102" ht="180" customHeight="1" s="48">
      <s:c r="A102" s="17" t="inlineStr">
        <s:is>
          <s:t>S5-A07</s:t>
        </s:is>
      </s:c>
      <s:c r="B102" s="18" t="inlineStr">
        <s:is>
          <s:t>S5</s:t>
        </s:is>
      </s:c>
      <s:c r="C102" s="18" t="inlineStr">
        <s:is>
          <s:t>Usage Accounting</s:t>
        </s:is>
      </s:c>
      <s:c r="D102" s="12" t="inlineStr">
        <s:is>
          <s:t>Harden usage reservation ledger for concurrency</s:t>
        </s:is>
      </s:c>
      <s:c r="E102" s="13" t="inlineStr">
        <s:is>
          <s:t>Implement reserve/commit/release, period reset semantics and unique idempotency keys for text/image generation.</s:t>
        </s:is>
      </s:c>
      <s:c r="F102" s="13" t="inlineStr">
        <s:is>
          <s:t>Concurrent requests cannot materially exceed hard quota beyond defined transaction behavior; failures release reservations.</s:t>
        </s:is>
      </s:c>
      <s:c r="G102" s="18" t="inlineStr">
        <s:is>
          <s:t>S5-A06,S3-A08</s:t>
        </s:is>
      </s:c>
      <s:c r="H102" s="18" t="inlineStr">
        <s:is>
          <s:t>P0</s:t>
        </s:is>
      </s:c>
      <s:c r="I102" s="18" t="inlineStr">
        <s:is>
          <s:t>Programmer A</s:t>
        </s:is>
      </s:c>
      <s:c r="J102" s="18" t="inlineStr">
        <s:is>
          <s:t>Programmer B</s:t>
        </s:is>
      </s:c>
      <s:c r="K102" s="18" t="n">
        <s:v>7</s:v>
      </s:c>
      <s:c r="L102" s="28" t="inlineStr">
        <s:is>
          <s:t>In Progress</s:t>
        </s:is>
      </s:c>
      <s:c r="M102" s="13" t="inlineStr">
        <s:is>
          <s:t>Concurrent transaction tests</s:t>
        </s:is>
      </s:c>
      <s:c r="N102" s="18" t="inlineStr">
        <s:is>
          <s:t>RG-08</s:t>
        </s:is>
      </s:c>
      <s:c r="O102" s="13" t="inlineStr">
        <s:is>
          <s:t>Prevents cost abuse/race.</s:t>
        </s:is>
      </s:c>
      <s:c r="P102" s="18" t="inlineStr">
        <s:is>
          <s:t>usage ledger</s:t>
        </s:is>
      </s:c>
      <s:c r="Q102" s="14">
        <s:f>INDEX('01_ROADMAP'!$C$5:$C$15,MATCH(B102,'01_ROADMAP'!$A$5:$A$15,0))</s:f>
        <s:v>46342.0</s:v>
      </s:c>
      <s:c r="R102" s="14">
        <s:f>INDEX('01_ROADMAP'!$D$5:$D$15,MATCH(B102,'01_ROADMAP'!$A$5:$A$15,0))</s:f>
        <s:v>46355.0</s:v>
      </s:c>
      <s:c r="S102" s="29" t="inlineStr">
        <s:is>
          <s:t>docs/backlog-partial-progress-2026-09-08.json#S5-A07</s:t>
        </s:is>
      </s:c>
      <s:c r="T102" s="13" t="inlineStr">
        <s:is>
          <s:t>BILLING</s:t>
        </s:is>
      </s:c>
      <s:c r="U102" s="13" t="inlineStr">
        <s:is>
          <s:t>Platform</s:t>
        </s:is>
      </s:c>
      <s:c r="V102" s="13" t="inlineStr">
        <s:is>
          <s:t>GA</s:t>
        </s:is>
      </s:c>
      <s:c r="W102" s="13" t="inlineStr">
        <s:is>
          <s:t>N/A / API-domain contract consumed by frontend where applicable.</s:t>
        </s:is>
      </s:c>
      <s:c r="X102" s="13" t="inlineStr">
        <s:is>
          <s:t>Acceptance Criteria + Test Evidence + Release Gate</s:t>
        </s:is>
      </s:c>
      <s:c r="Y102" s="54" t="inlineStr">
        <s:is>
          <s:t>Pjesërisht</s:t>
        </s:is>
      </s:c>
      <s:c r="Z102" s="56" t="inlineStr">
        <s:is>
          <s:t>AI ka ledger monetar reserve/commit/release me rezervim unik për generation, input/output usage dhe kosto të llogaritur nga çmime të konfiguruara. Dështimi liron rezervimin dhe rimburson quota count vetëm një herë.</s:t>
        </s:is>
      </s:c>
      <s:c r="AA102" s="56" t="inlineStr">
        <s:is>
          <s:t>Mbeten concurrency burst/fault tests për endpoint-in me provider, reconciler për rezervime të ngecura dhe policy e aprovuar për kreditë/soft budget.</s:t>
        </s:is>
      </s:c>
      <s:c r="AB102" s="56" t="inlineStr">
        <s:is>
          <s:t>Prova e kërkuar nga backlog-u: Concurrent transaction tests
Kriteri për t'u verifikuar (nuk deklarohet i kaluar): Concurrent requests cannot materially exceed hard quota beyond defined transaction behavior; failures release reservations.
DA-12: Kërkesa paralele, provider timeout/error/duplicate, release vetëm një herë dhe ndalim para tejkalimit të buxhetit; replay i kostove për secilin plan.
Pranimi kërkon edhe gate-et: RG-08. Asnjë gate nuk është shënuar Passed nga ky audit.</s:t>
        </s:is>
      </s:c>
      <s:c r="AC102" s="56" t="inlineStr">
        <s:is>
          <s:t>Integration test provon llogaritjen e kostos dhe vetëm një rezervim për generation; constraint-et DB dhe lint/types kaluan.</s:t>
        </s:is>
      </s:c>
      <s:c r="AD102" s="56" t="inlineStr">
        <s:is>
          <s:t>apps/web/database/migrations/0013_ai_cost_ledger.sql
apps/web/server/utils/ai-costs.ts
apps/web/server/api/ai/captions.post.ts
apps/web/tests/integration/server.test.ts</s:t>
        </s:is>
      </s:c>
      <s:c r="AE102" s="42" t="inlineStr">
        <s:is>
          <s:t>Pjesërisht — kërkon zhvillim</s:t>
        </s:is>
      </s:c>
      <s:c r="AF102" s="42" t="inlineStr">
        <s:is>
          <s:t>Po</s:t>
        </s:is>
      </s:c>
      <s:c r="AG102" s="42" t="inlineStr">
        <s:is>
          <s:t>Po — përzier me punë të jashtme</s:t>
        </s:is>
      </s:c>
      <s:c r="AH102" s="42" t="inlineStr">
        <s:is>
          <s:t>Mbeten concurrency burst/fault tests për endpoint-in me provider, reconciler për rezervime të ngecura dhe policy e aprovuar për kreditë/soft budget.</s:t>
        </s:is>
      </s:c>
      <s:c r="AI102" s="42" t="inlineStr">
        <s:is>
          <s:t>docs/backlog-code-handoff-2026-09-08.json#S5-A07</s:t>
        </s:is>
      </s:c>
      <s:c r="AJ102" s="42" t="inlineStr">
        <s:is>
          <s:t>Programmer A / review: Programmer B</s:t>
        </s:is>
      </s:c>
    </s:row>
    <s:row r="103" ht="155.1" customHeight="1" s="48">
      <s:c r="A103" s="17" t="inlineStr">
        <s:is>
          <s:t>S5-A08</s:t>
        </s:is>
      </s:c>
      <s:c r="B103" s="18" t="inlineStr">
        <s:is>
          <s:t>S5</s:t>
        </s:is>
      </s:c>
      <s:c r="C103" s="18" t="inlineStr">
        <s:is>
          <s:t>Security</s:t>
        </s:is>
      </s:c>
      <s:c r="D103" s="12" t="inlineStr">
        <s:is>
          <s:t>Execute ASVS/API security hardening pass</s:t>
        </s:is>
      </s:c>
      <s:c r="E103" s="13" t="inlineStr">
        <s:is>
          <s:t>Map applicable ASVS 5.0 L2-oriented controls, fix headers/CORS/CSRF/rate limits/error leakage/privileged re-auth gaps and record evidence.</s:t>
        </s:is>
      </s:c>
      <s:c r="F103" s="13" t="inlineStr">
        <s:is>
          <s:t>No unresolved exploitable high/critical finding in scope; checklist links tests/config evidence.</s:t>
        </s:is>
      </s:c>
      <s:c r="G103" s="18" t="inlineStr">
        <s:is>
          <s:t>S4-A09,S5-A06</s:t>
        </s:is>
      </s:c>
      <s:c r="H103" s="18" t="inlineStr">
        <s:is>
          <s:t>P0</s:t>
        </s:is>
      </s:c>
      <s:c r="I103" s="18" t="inlineStr">
        <s:is>
          <s:t>Programmer A</s:t>
        </s:is>
      </s:c>
      <s:c r="J103" s="18" t="inlineStr">
        <s:is>
          <s:t>Programmer B</s:t>
        </s:is>
      </s:c>
      <s:c r="K103" s="18" t="n">
        <s:v>10</s:v>
      </s:c>
      <s:c r="L103" s="28" t="inlineStr">
        <s:is>
          <s:t>In Progress</s:t>
        </s:is>
      </s:c>
      <s:c r="M103" s="13" t="inlineStr">
        <s:is>
          <s:t>Security regression + checklist</s:t>
        </s:is>
      </s:c>
      <s:c r="N103" s="18" t="inlineStr">
        <s:is>
          <s:t>RG-12</s:t>
        </s:is>
      </s:c>
      <s:c r="O103" s="13" t="inlineStr">
        <s:is>
          <s:t>Formal pre-release security baseline.</s:t>
        </s:is>
      </s:c>
      <s:c r="P103" s="18" t="inlineStr">
        <s:is>
          <s:t>security checklist/fixes</s:t>
        </s:is>
      </s:c>
      <s:c r="Q103" s="14">
        <s:f>INDEX('01_ROADMAP'!$C$5:$C$15,MATCH(B103,'01_ROADMAP'!$A$5:$A$15,0))</s:f>
        <s:v>46342.0</s:v>
      </s:c>
      <s:c r="R103" s="14">
        <s:f>INDEX('01_ROADMAP'!$D$5:$D$15,MATCH(B103,'01_ROADMAP'!$A$5:$A$15,0))</s:f>
        <s:v>46355.0</s:v>
      </s:c>
      <s:c r="S103" s="29" t="inlineStr">
        <s:is>
          <s:t>docs/backlog-deep-audit-2026-09-07.json#S5-A08</s:t>
        </s:is>
      </s:c>
      <s:c r="T103" s="13" t="inlineStr">
        <s:is>
          <s:t>SECURITY</s:t>
        </s:is>
      </s:c>
      <s:c r="U103" s="13" t="inlineStr">
        <s:is>
          <s:t>Security</s:t>
        </s:is>
      </s:c>
      <s:c r="V103" s="13" t="inlineStr">
        <s:is>
          <s:t>GA</s:t>
        </s:is>
      </s:c>
      <s:c r="W103" s="13" t="inlineStr">
        <s:is>
          <s:t>N/A / API-domain contract consumed by frontend where applicable.</s:t>
        </s:is>
      </s:c>
      <s:c r="X103" s="13" t="inlineStr">
        <s:is>
          <s:t>Acceptance Criteria + Test Evidence + Release Gate</s:t>
        </s:is>
      </s:c>
      <s:c r="Y103" s="54" t="inlineStr">
        <s:is>
          <s:t>Pjesërisht</s:t>
        </s:is>
      </s:c>
      <s:c r="Z103" s="55" t="inlineStr">
        <s:is>
          <s:t>Auth rate limiting, same-origin JSON checks, private media, encrypted Meta tokens dhe disa security headers.</s:t>
        </s:is>
      </s:c>
      <s:c r="AA103" s="55" t="inlineStr">
        <s:is>
          <s:t>1. Mungon ASVS evidence matrix, sensitive re-auth, security scans/penetration audit dhe provë prodhimi; nuk mund të deklarohet zero high/critical.</s:t>
        </s:is>
      </s:c>
      <s:c r="AB103" s="55" t="inlineStr">
        <s:is>
          <s:t>Prova e kërkuar nga backlog-u: Security regression + checklist
Kriteri për t'u verifikuar (nuk deklarohet i kaluar): No unresolved exploitable high/critical finding in scope; checklist links tests/config evidence.
Pranimi kërkon edhe gate-et: RG-12. Asnjë gate nuk është shënuar Passed nga ky audit.</s:t>
        </s:is>
      </s:c>
      <s:c r="AC103" s="55" t="inlineStr">
        <s:is>
          <s:t>hq-deep-audit-unit.log: schema testuese PostgreSQL nga migrimet, JPEG decode/EXIF, ownership checks, token encryption/transport dhe signed media. Nuk është RLS/ASVS/Meta OAuth acceptance e plotë.</s:t>
        </s:is>
      </s:c>
      <s:c r="AD103" s="55" t="inlineStr">
        <s:is>
          <s:t>apps/web/server/utils/auth.ts
apps/web/server/utils/access.ts
apps/web/nuxt.config.ts
apps/web/tests/integration/server.test.ts</s:t>
        </s:is>
      </s:c>
      <s:c r="AE103" s="42" t="inlineStr">
        <s:is>
          <s:t>Pjesërisht — kërkon zhvillim</s:t>
        </s:is>
      </s:c>
      <s:c r="AF103" s="42" t="inlineStr">
        <s:is>
          <s:t>Po</s:t>
        </s:is>
      </s:c>
      <s:c r="AG103" s="42" t="inlineStr">
        <s:is>
          <s:t>Po, pas implementimit</s:t>
        </s:is>
      </s:c>
      <s:c r="AH103" s="42" t="inlineStr">
        <s:is>
          <s:t>Mungon ASVS evidence matrix, sensitive re-auth, security scans/penetration audit dhe provë prodhimi; nuk mund të deklarohet zero high/critical.</s:t>
        </s:is>
      </s:c>
      <s:c r="AI103" s="42" t="inlineStr">
        <s:is>
          <s:t>docs/backlog-code-handoff-2026-09-08.json#S5-A08</s:t>
        </s:is>
      </s:c>
      <s:c r="AJ103" s="42" t="inlineStr">
        <s:is>
          <s:t>Programmer A / review: Programmer B</s:t>
        </s:is>
      </s:c>
    </s:row>
    <s:row r="104" ht="180" customHeight="1" s="48">
      <s:c r="A104" s="17" t="inlineStr">
        <s:is>
          <s:t>S5-A09</s:t>
        </s:is>
      </s:c>
      <s:c r="B104" s="18" t="inlineStr">
        <s:is>
          <s:t>S5</s:t>
        </s:is>
      </s:c>
      <s:c r="C104" s="18" t="inlineStr">
        <s:is>
          <s:t>Performance</s:t>
        </s:is>
      </s:c>
      <s:c r="D104" s="12" t="inlineStr">
        <s:is>
          <s:t>Profile DB/API and add evidence-based indexes</s:t>
        </s:is>
      </s:c>
      <s:c r="E104" s="13" t="inlineStr">
        <s:is>
          <s:t>Run representative load/query profiling, fix N+1/unbounded queries, add/adjust indexes and worker concurrency limits.</s:t>
        </s:is>
      </s:c>
      <s:c r="F104" s="13" t="inlineStr">
        <s:is>
          <s:t>Non-AI CRUD p95 target met at staging load; no index added without query evidence; queue oldest age stable.</s:t>
        </s:is>
      </s:c>
      <s:c r="G104" s="18" t="inlineStr">
        <s:is>
          <s:t>S5-A03,S4-A03</s:t>
        </s:is>
      </s:c>
      <s:c r="H104" s="18" t="inlineStr">
        <s:is>
          <s:t>P1</s:t>
        </s:is>
      </s:c>
      <s:c r="I104" s="18" t="inlineStr">
        <s:is>
          <s:t>Programmer A</s:t>
        </s:is>
      </s:c>
      <s:c r="J104" s="18" t="inlineStr">
        <s:is>
          <s:t>Programmer B</s:t>
        </s:is>
      </s:c>
      <s:c r="K104" s="18" t="n">
        <s:v>8</s:v>
      </s:c>
      <s:c r="L104" s="28" t="inlineStr">
        <s:is>
          <s:t>In Progress</s:t>
        </s:is>
      </s:c>
      <s:c r="M104" s="13" t="inlineStr">
        <s:is>
          <s:t>k6/Locust + EXPLAIN reports</s:t>
        </s:is>
      </s:c>
      <s:c r="N104" s="18" t="inlineStr">
        <s:is>
          <s:t>RG-11</s:t>
        </s:is>
      </s:c>
      <s:c r="O104" s="13" t="inlineStr">
        <s:is>
          <s:t>Load tests use synthetic data.</s:t>
        </s:is>
      </s:c>
      <s:c r="P104" s="18" t="inlineStr">
        <s:is>
          <s:t>performance report/fixes</s:t>
        </s:is>
      </s:c>
      <s:c r="Q104" s="14">
        <s:f>INDEX('01_ROADMAP'!$C$5:$C$15,MATCH(B104,'01_ROADMAP'!$A$5:$A$15,0))</s:f>
        <s:v>46342.0</s:v>
      </s:c>
      <s:c r="R104" s="14">
        <s:f>INDEX('01_ROADMAP'!$D$5:$D$15,MATCH(B104,'01_ROADMAP'!$A$5:$A$15,0))</s:f>
        <s:v>46355.0</s:v>
      </s:c>
      <s:c r="S104" s="29" t="inlineStr">
        <s:is>
          <s:t>docs/backlog-partial-progress-2026-09-08.json#S5-A09</s:t>
        </s:is>
      </s:c>
      <s:c r="T104" s="13" t="inlineStr">
        <s:is>
          <s:t>DEVOPS/OPS</s:t>
        </s:is>
      </s:c>
      <s:c r="U104" s="13" t="inlineStr">
        <s:is>
          <s:t>Platform</s:t>
        </s:is>
      </s:c>
      <s:c r="V104" s="13" t="inlineStr">
        <s:is>
          <s:t>GA</s:t>
        </s:is>
      </s:c>
      <s:c r="W104" s="13" t="inlineStr">
        <s:is>
          <s:t>N/A / API-domain contract consumed by frontend where applicable.</s:t>
        </s:is>
      </s:c>
      <s:c r="X104" s="13" t="inlineStr">
        <s:is>
          <s:t>Acceptance Criteria + Test Evidence + Release Gate</s:t>
        </s:is>
      </s:c>
      <s:c r="Y104" s="54" t="inlineStr">
        <s:is>
          <s:t>Pjesërisht</s:t>
        </s:is>
      </s:c>
      <s:c r="Z104" s="56" t="inlineStr">
        <s:is>
          <s:t>U shtuan index-i i source history, batch/fairness dhe queue age në readiness. Query-t kyçe kanë indekse të versionuara.</s:t>
        </s:is>
      </s:c>
      <s:c r="AA104" s="56" t="inlineStr">
        <s:is>
          <s:t>Mbeten server-side list APIs, 500+/1000 fixture, EXPLAIN/k6 report, p95/memory evidence dhe RG-11.</s:t>
        </s:is>
      </s:c>
      <s:c r="AB104" s="56" t="inlineStr">
        <s:is>
          <s:t>Prova e kërkuar nga backlog-u: k6/Locust + EXPLAIN reports
Kriteri për t'u verifikuar (nuk deklarohet i kaluar): Non-AI CRUD p95 target met at staging load; no index added without query evidence; queue oldest age stable.
DA-02: Burst nga disa biznese në të njëjtin orar, dy worker-a, pa dyfishime ose uri të një biznesi; mat vonesën ndaj objektivit të planifikuar.
DA-09: Fixture 500+ asset dhe 1000 postime: mat bytes/p95/memorien; filtër/cursor nuk kalon tenant-in dhe ndryshimi i një postimi nuk rishkruan gjithë listën.
Pranimi kërkon edhe gate-et: RG-11. Asnjë gate nuk është shënuar Passed nga ky audit.</s:t>
        </s:is>
      </s:c>
      <s:c r="AC104" s="56" t="inlineStr">
        <s:is>
          <s:t>Kontrollet funksionale kalojnë; nuk u mat staging load.</s:t>
        </s:is>
      </s:c>
      <s:c r="AD104" s="56" t="inlineStr">
        <s:is>
          <s:t>apps/web/database/migrations/0008_provider_reliability.sql
apps/web/server/api/health/ready.get.ts
apps/web/server/utils/publishing.ts</s:t>
        </s:is>
      </s:c>
      <s:c r="AE104" s="42" t="inlineStr">
        <s:is>
          <s:t>Pjesërisht — kërkon zhvillim</s:t>
        </s:is>
      </s:c>
      <s:c r="AF104" s="42" t="inlineStr">
        <s:is>
          <s:t>Po</s:t>
        </s:is>
      </s:c>
      <s:c r="AG104" s="42" t="inlineStr">
        <s:is>
          <s:t>Po — përzier me punë të jashtme</s:t>
        </s:is>
      </s:c>
      <s:c r="AH104" s="42" t="inlineStr">
        <s:is>
          <s:t>Mbeten server-side list APIs, 500+/1000 fixture, EXPLAIN/k6 report, p95/memory evidence dhe RG-11.</s:t>
        </s:is>
      </s:c>
      <s:c r="AI104" s="42" t="inlineStr">
        <s:is>
          <s:t>docs/backlog-code-handoff-2026-09-08.json#S5-A09</s:t>
        </s:is>
      </s:c>
      <s:c r="AJ104" s="42" t="inlineStr">
        <s:is>
          <s:t>Programmer A / review: Programmer B</s:t>
        </s:is>
      </s:c>
    </s:row>
    <s:row r="105" ht="155.1" customHeight="1" s="48">
      <s:c r="A105" s="17" t="inlineStr">
        <s:is>
          <s:t>S5-B01</s:t>
        </s:is>
      </s:c>
      <s:c r="B105" s="18" t="inlineStr">
        <s:is>
          <s:t>S5</s:t>
        </s:is>
      </s:c>
      <s:c r="C105" s="18" t="inlineStr">
        <s:is>
          <s:t>Analytics UX</s:t>
        </s:is>
      </s:c>
      <s:c r="D105" s="12" t="inlineStr">
        <s:is>
          <s:t>Build brand analytics overview</s:t>
        </s:is>
      </s:c>
      <s:c r="E105" s="13" t="inlineStr">
        <s:is>
          <s:t>Create date-range summary, trends, top content and channel health cards with clear metric definitions/empty states.</s:t>
        </s:is>
      </s:c>
      <s:c r="F105" s="13" t="inlineStr">
        <s:is>
          <s:t>Basic entitlement sees allowed metrics; unsupported/missing metric not rendered as zero; mobile charts readable.</s:t>
        </s:is>
      </s:c>
      <s:c r="G105" s="18" t="inlineStr">
        <s:is>
          <s:t>S5-A03</s:t>
        </s:is>
      </s:c>
      <s:c r="H105" s="18" t="inlineStr">
        <s:is>
          <s:t>P1</s:t>
        </s:is>
      </s:c>
      <s:c r="I105" s="18" t="inlineStr">
        <s:is>
          <s:t>Programmer B</s:t>
        </s:is>
      </s:c>
      <s:c r="J105" s="18" t="inlineStr">
        <s:is>
          <s:t>Programmer A</s:t>
        </s:is>
      </s:c>
      <s:c r="K105" s="18" t="n">
        <s:v>10</s:v>
      </s:c>
      <s:c r="L105" s="32" t="inlineStr">
        <s:is>
          <s:t>Deferred</s:t>
        </s:is>
      </s:c>
      <s:c r="M105" s="13" t="inlineStr">
        <s:is>
          <s:t>Component/E2E analytics fixtures</s:t>
        </s:is>
      </s:c>
      <s:c r="N105" s="18" t="inlineStr">
        <s:is>
          <s:t>RG-14</s:t>
        </s:is>
      </s:c>
      <s:c r="O105" s="13" t="inlineStr">
        <s:is>
          <s:t>No misleading causal claims.</s:t>
        </s:is>
      </s:c>
      <s:c r="P105" s="18" t="inlineStr">
        <s:is>
          <s:t>analytics dashboard</s:t>
        </s:is>
      </s:c>
      <s:c r="Q105" s="14">
        <s:f>INDEX('01_ROADMAP'!$C$5:$C$15,MATCH(B105,'01_ROADMAP'!$A$5:$A$15,0))</s:f>
        <s:v>46342.0</s:v>
      </s:c>
      <s:c r="R105" s="14">
        <s:f>INDEX('01_ROADMAP'!$D$5:$D$15,MATCH(B105,'01_ROADMAP'!$A$5:$A$15,0))</s:f>
        <s:v>46355.0</s:v>
      </s:c>
      <s:c r="S105" s="29" t="inlineStr">
        <s:is>
          <s:t>docs/backlog-deep-audit-2026-09-07.json#S5-B01</s:t>
        </s:is>
      </s:c>
      <s:c r="T105" s="13" t="inlineStr">
        <s:is>
          <s:t>FRONTEND</s:t>
        </s:is>
      </s:c>
      <s:c r="U105" s="13" t="inlineStr">
        <s:is>
          <s:t>Brand</s:t>
        </s:is>
      </s:c>
      <s:c r="V105" s="13" t="inlineStr">
        <s:is>
          <s:t>Deferred — posts scope</s:t>
        </s:is>
      </s:c>
      <s:c r="W105" s="13" t="inlineStr">
        <s:is>
          <s:t>See companion DOCX; use Nuxt UI primitives and shared design system for user-facing tasks.</s:t>
        </s:is>
      </s:c>
      <s:c r="X105" s="13" t="inlineStr">
        <s:is>
          <s:t>Acceptance Criteria + Test Evidence + Release Gate</s:t>
        </s:is>
      </s:c>
      <s:c r="Y105" s="59" t="inlineStr">
        <s:is>
          <s:t>Shtyrë</s:t>
        </s:is>
      </s:c>
      <s:c r="Z105" s="55" t="inlineStr">
        <s:is>
          <s:t>Analytics dhe performance metrics janë shtyrë nga scope-i vetëm për postime.</s:t>
        </s:is>
      </s:c>
      <s:c r="AA105" s="55" t="inlineStr">
        <s:is>
          <s:t>1. Kur rikthehet analytics: summary/trends/top-content/channel-health me range dhe përkufizime metrike; entitlement, unavailable dhe mobile charts me fixtures reale të kontratës.</s:t>
        </s:is>
      </s:c>
      <s:c r="AB105" s="55" t="inlineStr">
        <s:is>
          <s:t>Prova e kërkuar nga backlog-u: Component/E2E analytics fixtures
Kriteri për t'u verifikuar (nuk deklarohet i kaluar): Basic entitlement sees allowed metrics; unsupported/missing metric not rendered as zero; mobile charts readable.
Pranimi kërkon edhe gate-et: RG-14. Asnjë gate nuk është shënuar Passed nga ky audit.</s:t>
        </s:is>
      </s:c>
      <s:c r="AC105" s="55" t="inlineStr">
        <s:is>
          <s:t>Shtyrë sipas scope-it; nuk është realizuar. Kriteret dhe hapat e këtij rreshti vlejnë kur moduli të rikthehet në scope.</s:t>
        </s:is>
      </s:c>
      <s:c r="AD105" s="55" t="inlineStr">
        <s:is>
          <s:t>Nuk u gjet implementim specifik; shiko kriterin dhe hapat në AA/AB.</s:t>
        </s:is>
      </s:c>
      <s:c r="AE105" s="42" t="inlineStr">
        <s:is>
          <s:t>Shtyrë nga scope-i aktual</s:t>
        </s:is>
      </s:c>
      <s:c r="AF105" s="42" t="inlineStr">
        <s:is>
          <s:t>Jo në scope-in posts-only</s:t>
        </s:is>
      </s:c>
      <s:c r="AG105" s="42" t="inlineStr">
        <s:is>
          <s:t>Jo tani</s:t>
        </s:is>
      </s:c>
      <s:c r="AH105" s="42" t="inlineStr">
        <s:is>
          <s:t>Kur rikthehet analytics: summary/trends/top-content/channel-health me range dhe përkufizime metrike; entitlement, unavailable dhe mobile charts me fixtures reale të kontratës.</s:t>
        </s:is>
      </s:c>
      <s:c r="AI105" s="42" t="inlineStr">
        <s:is>
          <s:t>docs/backlog-code-handoff-2026-09-08.json#S5-B01</s:t>
        </s:is>
      </s:c>
      <s:c r="AJ105" s="42" t="inlineStr">
        <s:is>
          <s:t>Programmer B / review: Programmer A</s:t>
        </s:is>
      </s:c>
    </s:row>
    <s:row r="106" ht="155.1" customHeight="1" s="48">
      <s:c r="A106" s="17" t="inlineStr">
        <s:is>
          <s:t>S5-B02</s:t>
        </s:is>
      </s:c>
      <s:c r="B106" s="18" t="inlineStr">
        <s:is>
          <s:t>S5</s:t>
        </s:is>
      </s:c>
      <s:c r="C106" s="18" t="inlineStr">
        <s:is>
          <s:t>Analytics UX</s:t>
        </s:is>
      </s:c>
      <s:c r="D106" s="12" t="inlineStr">
        <s:is>
          <s:t>Build per-post performance table/detail</s:t>
        </s:is>
      </s:c>
      <s:c r="E106" s="13" t="inlineStr">
        <s:is>
          <s:t>Create cursor table with published creative, metrics, deltas/window labels, filters and drill-down.</s:t>
        </s:is>
      </s:c>
      <s:c r="F106" s="13" t="inlineStr">
        <s:is>
          <s:t>Large fixture list paginates; metric definitions/time windows visible; inaccessible external link handled.</s:t>
        </s:is>
      </s:c>
      <s:c r="G106" s="18" t="inlineStr">
        <s:is>
          <s:t>S5-A03,S4-B04</s:t>
        </s:is>
      </s:c>
      <s:c r="H106" s="18" t="inlineStr">
        <s:is>
          <s:t>P1</s:t>
        </s:is>
      </s:c>
      <s:c r="I106" s="18" t="inlineStr">
        <s:is>
          <s:t>Programmer B</s:t>
        </s:is>
      </s:c>
      <s:c r="J106" s="18" t="inlineStr">
        <s:is>
          <s:t>Programmer A</s:t>
        </s:is>
      </s:c>
      <s:c r="K106" s="18" t="n">
        <s:v>7</s:v>
      </s:c>
      <s:c r="L106" s="32" t="inlineStr">
        <s:is>
          <s:t>Deferred</s:t>
        </s:is>
      </s:c>
      <s:c r="M106" s="13" t="inlineStr">
        <s:is>
          <s:t>E2E pagination/filter tests</s:t>
        </s:is>
      </s:c>
      <s:c r="N106" s="18" t="inlineStr">
        <s:is>
          <s:t>RG-14</s:t>
        </s:is>
      </s:c>
      <s:c r="O106" s="13" t="inlineStr">
        <s:is>
          <s:t>Scoped data only.</s:t>
        </s:is>
      </s:c>
      <s:c r="P106" s="18" t="inlineStr">
        <s:is>
          <s:t>post analytics UI</s:t>
        </s:is>
      </s:c>
      <s:c r="Q106" s="14">
        <s:f>INDEX('01_ROADMAP'!$C$5:$C$15,MATCH(B106,'01_ROADMAP'!$A$5:$A$15,0))</s:f>
        <s:v>46342.0</s:v>
      </s:c>
      <s:c r="R106" s="14">
        <s:f>INDEX('01_ROADMAP'!$D$5:$D$15,MATCH(B106,'01_ROADMAP'!$A$5:$A$15,0))</s:f>
        <s:v>46355.0</s:v>
      </s:c>
      <s:c r="S106" s="29" t="inlineStr">
        <s:is>
          <s:t>docs/backlog-deep-audit-2026-09-07.json#S5-B02</s:t>
        </s:is>
      </s:c>
      <s:c r="T106" s="13" t="inlineStr">
        <s:is>
          <s:t>FRONTEND</s:t>
        </s:is>
      </s:c>
      <s:c r="U106" s="13" t="inlineStr">
        <s:is>
          <s:t>Analytics</s:t>
        </s:is>
      </s:c>
      <s:c r="V106" s="13" t="inlineStr">
        <s:is>
          <s:t>Deferred — posts scope</s:t>
        </s:is>
      </s:c>
      <s:c r="W106" s="13" t="inlineStr">
        <s:is>
          <s:t>See companion DOCX; use Nuxt UI primitives and shared design system for user-facing tasks.</s:t>
        </s:is>
      </s:c>
      <s:c r="X106" s="13" t="inlineStr">
        <s:is>
          <s:t>Acceptance Criteria + Test Evidence + Release Gate</s:t>
        </s:is>
      </s:c>
      <s:c r="Y106" s="59" t="inlineStr">
        <s:is>
          <s:t>Shtyrë</s:t>
        </s:is>
      </s:c>
      <s:c r="Z106" s="56" t="inlineStr">
        <s:is>
          <s:t>Analytics dhe performance metrics janë shtyrë nga scope-i vetëm për postime.</s:t>
        </s:is>
      </s:c>
      <s:c r="AA106" s="56" t="inlineStr">
        <s:is>
          <s:t>1. Kur rikthehet analytics: tabelë server-paginated për performancë postimi, filtra, delta/window labels dhe drill-down; mbulo link të jashtëm të padisponueshëm.</s:t>
        </s:is>
      </s:c>
      <s:c r="AB106" s="56" t="inlineStr">
        <s:is>
          <s:t>Prova e kërkuar nga backlog-u: E2E pagination/filter tests
Kriteri për t'u verifikuar (nuk deklarohet i kaluar): Large fixture list paginates; metric definitions/time windows visible; inaccessible external link handled.
Pranimi kërkon edhe gate-et: RG-14. Asnjë gate nuk është shënuar Passed nga ky audit.</s:t>
        </s:is>
      </s:c>
      <s:c r="AC106" s="56" t="inlineStr">
        <s:is>
          <s:t>Shtyrë sipas scope-it; nuk është realizuar. Kriteret dhe hapat e këtij rreshti vlejnë kur moduli të rikthehet në scope.</s:t>
        </s:is>
      </s:c>
      <s:c r="AD106" s="56" t="inlineStr">
        <s:is>
          <s:t>Nuk u gjet implementim specifik; shiko kriterin dhe hapat në AA/AB.</s:t>
        </s:is>
      </s:c>
      <s:c r="AE106" s="42" t="inlineStr">
        <s:is>
          <s:t>Shtyrë nga scope-i aktual</s:t>
        </s:is>
      </s:c>
      <s:c r="AF106" s="42" t="inlineStr">
        <s:is>
          <s:t>Jo në scope-in posts-only</s:t>
        </s:is>
      </s:c>
      <s:c r="AG106" s="42" t="inlineStr">
        <s:is>
          <s:t>Jo tani</s:t>
        </s:is>
      </s:c>
      <s:c r="AH106" s="42" t="inlineStr">
        <s:is>
          <s:t>Kur rikthehet analytics: tabelë server-paginated për performancë postimi, filtra, delta/window labels dhe drill-down; mbulo link të jashtëm të padisponueshëm.</s:t>
        </s:is>
      </s:c>
      <s:c r="AI106" s="42" t="inlineStr">
        <s:is>
          <s:t>docs/backlog-code-handoff-2026-09-08.json#S5-B02</s:t>
        </s:is>
      </s:c>
      <s:c r="AJ106" s="42" t="inlineStr">
        <s:is>
          <s:t>Programmer B / review: Programmer A</s:t>
        </s:is>
      </s:c>
    </s:row>
    <s:row r="107" ht="180" customHeight="1" s="48">
      <s:c r="A107" s="17" t="inlineStr">
        <s:is>
          <s:t>S5-B03</s:t>
        </s:is>
      </s:c>
      <s:c r="B107" s="18" t="inlineStr">
        <s:is>
          <s:t>S5</s:t>
        </s:is>
      </s:c>
      <s:c r="C107" s="18" t="inlineStr">
        <s:is>
          <s:t>Pricing</s:t>
        </s:is>
      </s:c>
      <s:c r="D107" s="12" t="inlineStr">
        <s:is>
          <s:t>Finalize landing pricing/package presentation</s:t>
        </s:is>
      </s:c>
      <s:c r="E107" s="13" t="inlineStr">
        <s:is>
          <s:t>Render euro (EUR) plan cards/features/limits from the PostgreSQL public plan catalog, including annual-discount data and purchasable state. Advertise the real configurable three-day trial, with no demo signup path. Keep proposed packages clearly distinct from active paid checkout.</s:t>
        </s:is>
      </s:c>
      <s:c r="F107" s="13" t="inlineStr">
        <s:is>
          <s:t>No duplicate hardcoded commercial feature matrix; display matches server catalog and actual entitlements. EUR formatting, responsive layout, SSR/SEO and catalog failure states work. An unavailable plan cannot checkout. Proposed prices require commercial acceptance before paid launch.</s:t>
        </s:is>
      </s:c>
      <s:c r="G107" s="18" t="inlineStr">
        <s:is>
          <s:t>S5-A04,S0-B05</s:t>
        </s:is>
      </s:c>
      <s:c r="H107" s="18" t="inlineStr">
        <s:is>
          <s:t>P0</s:t>
        </s:is>
      </s:c>
      <s:c r="I107" s="18" t="inlineStr">
        <s:is>
          <s:t>Programmer B</s:t>
        </s:is>
      </s:c>
      <s:c r="J107" s="18" t="inlineStr">
        <s:is>
          <s:t>Programmer A</s:t>
        </s:is>
      </s:c>
      <s:c r="K107" s="18" t="n">
        <s:v>7</s:v>
      </s:c>
      <s:c r="L107" s="31" t="inlineStr">
        <s:is>
          <s:t>In Review</s:t>
        </s:is>
      </s:c>
      <s:c r="M107" s="13" t="inlineStr">
        <s:is>
          <s:t>Contract/UI snapshot tests</s:t>
        </s:is>
      </s:c>
      <s:c r="N107" s="18" t="inlineStr">
        <s:is>
          <s:t>RG-08,RG-14</s:t>
        </s:is>
      </s:c>
      <s:c r="O107" s="13" t="inlineStr">
        <s:is>
          <s:t>Price source server/catalog.</s:t>
        </s:is>
      </s:c>
      <s:c r="P107" s="18" t="inlineStr">
        <s:is>
          <s:t>pricing page</s:t>
        </s:is>
      </s:c>
      <s:c r="Q107" s="14">
        <s:f>INDEX('01_ROADMAP'!$C$5:$C$15,MATCH(B107,'01_ROADMAP'!$A$5:$A$15,0))</s:f>
        <s:v>46342.0</s:v>
      </s:c>
      <s:c r="R107" s="14">
        <s:f>INDEX('01_ROADMAP'!$D$5:$D$15,MATCH(B107,'01_ROADMAP'!$A$5:$A$15,0))</s:f>
        <s:v>46355.0</s:v>
      </s:c>
      <s:c r="S107" s="29" t="inlineStr">
        <s:is>
          <s:t>docs/backlog-partial-progress-2026-09-08.json#S5-B03</s:t>
        </s:is>
      </s:c>
      <s:c r="T107" s="13" t="inlineStr">
        <s:is>
          <s:t>FRONTEND</s:t>
        </s:is>
      </s:c>
      <s:c r="U107" s="13" t="inlineStr">
        <s:is>
          <s:t>Landing</s:t>
        </s:is>
      </s:c>
      <s:c r="V107" s="13" t="inlineStr">
        <s:is>
          <s:t>GA</s:t>
        </s:is>
      </s:c>
      <s:c r="W107" s="13" t="inlineStr">
        <s:is>
          <s:t>See companion DOCX; use Nuxt UI primitives and shared design system for user-facing tasks.</s:t>
        </s:is>
      </s:c>
      <s:c r="X107" s="13" t="inlineStr">
        <s:is>
          <s:t>Acceptance Criteria + Test Evidence + Release Gate</s:t>
        </s:is>
      </s:c>
      <s:c r="Y107" s="58" t="inlineStr">
        <s:is>
          <s:t>Implementuar — në pranim</s:t>
        </s:is>
      </s:c>
      <s:c r="Z107" s="55" t="inlineStr">
        <s:is>
          <s:t>Landing pricing lexon katalogun e tipizuar nga PostgreSQL: EUR, version, entitlements, limits dhe purchasable. Nuk ka matricë komerciale runtime të duplikuar dhe plani unavailable nuk hap checkout.</s:t>
        </s:is>
      </s:c>
      <s:c r="AA107" s="55" t="inlineStr">
        <s:is>
          <s:t>Mbeten miratimi i çmimeve, provider checkout/portal dhe contract test i subscription→entitlement; RG-08/RG-14 mbeten të hapura.</s:t>
        </s:is>
      </s:c>
      <s:c r="AB107" s="55" t="inlineStr">
        <s:is>
          <s:t>Prova e kërkuar nga backlog-u: Contract/UI snapshot tests
Kriteri për t'u verifikuar (nuk deklarohet i kaluar): No duplicate hardcoded commercial feature matrix; display matches server catalog and actual entitlements. EUR formatting, responsive layout, SSR/SEO and catalog failure states work. An unavailable plan cannot checkout. Proposed prices require commercial acceptance before paid launch.
DA-15: Për çdo plan/version provo features/limits të shfaqura kundrejt serverit, konfigurim të pavlefshëm, downgrade dhe expiry; pagesat kërkojnë sandbox më vete.
Pranimi kërkon edhe gate-et: RG-08,RG-14. Asnjë gate nuk është shënuar Passed nga ky audit.</s:t>
        </s:is>
      </s:c>
      <s:c r="AC107" s="55" t="inlineStr">
        <s:is>
          <s:t>Plan catalog schema dhe DB integration test kaluan; /api/plans ktheu katalogun EUR.</s:t>
        </s:is>
      </s:c>
      <s:c r="AD107" s="55" t="inlineStr">
        <s:is>
          <s:t>apps/web/database/migrations/0011_typed_plan_catalog.sql
apps/web/shared/schemas/catalog.ts
apps/web/server/api/plans.get.ts
apps/web/app/pages/pricing.vue</s:t>
        </s:is>
      </s:c>
      <s:c r="AE107" s="42" t="inlineStr">
        <s:is>
          <s:t>Kryer në kod — pret pranim/gate</s:t>
        </s:is>
      </s:c>
      <s:c r="AF107" s="42" t="inlineStr">
        <s:is>
          <s:t>Jo për scope-in e rreshtit</s:t>
        </s:is>
      </s:c>
      <s:c r="AG107" s="42" t="inlineStr">
        <s:is>
          <s:t>Po</s:t>
        </s:is>
      </s:c>
      <s:c r="AH107" s="42" t="inlineStr">
        <s:is>
          <s:t>Mbeten miratimi i çmimeve, provider checkout/portal dhe contract test i subscription→entitlement; RG-08/RG-14 mbeten të hapura.</s:t>
        </s:is>
      </s:c>
      <s:c r="AI107" s="42" t="inlineStr">
        <s:is>
          <s:t>docs/backlog-code-handoff-2026-09-08.json#S5-B03</s:t>
        </s:is>
      </s:c>
      <s:c r="AJ107" s="42" t="inlineStr">
        <s:is>
          <s:t>Programmer B / review: Programmer A</s:t>
        </s:is>
      </s:c>
    </s:row>
    <s:row r="108" ht="155.1" customHeight="1" s="48">
      <s:c r="A108" s="17" t="inlineStr">
        <s:is>
          <s:t>S5-B04</s:t>
        </s:is>
      </s:c>
      <s:c r="B108" s="18" t="inlineStr">
        <s:is>
          <s:t>S5</s:t>
        </s:is>
      </s:c>
      <s:c r="C108" s="18" t="inlineStr">
        <s:is>
          <s:t>Billing UX</s:t>
        </s:is>
      </s:c>
      <s:c r="D108" s="12" t="inlineStr">
        <s:is>
          <s:t>Build checkout and subscription settings</s:t>
        </s:is>
      </s:c>
      <s:c r="E108" s="13" t="inlineStr">
        <s:is>
          <s:t>Create billing settings for current plan, renewal/status, checkout/upgrade/downgrade/cancel/provider portal and safe return states.</s:t>
        </s:is>
      </s:c>
      <s:c r="F108" s="13" t="inlineStr">
        <s:is>
          <s:t>Owner/Billing only; double checkout safe; past_due/cancelled states explicit; no card data handled by app if provider-hosted.</s:t>
        </s:is>
      </s:c>
      <s:c r="G108" s="18" t="inlineStr">
        <s:is>
          <s:t>S5-A04,S5-A05</s:t>
        </s:is>
      </s:c>
      <s:c r="H108" s="18" t="inlineStr">
        <s:is>
          <s:t>P0</s:t>
        </s:is>
      </s:c>
      <s:c r="I108" s="18" t="inlineStr">
        <s:is>
          <s:t>Programmer B</s:t>
        </s:is>
      </s:c>
      <s:c r="J108" s="18" t="inlineStr">
        <s:is>
          <s:t>Programmer A</s:t>
        </s:is>
      </s:c>
      <s:c r="K108" s="18" t="n">
        <s:v>8</s:v>
      </s:c>
      <s:c r="L108" s="28" t="inlineStr">
        <s:is>
          <s:t>In Progress</s:t>
        </s:is>
      </s:c>
      <s:c r="M108" s="13" t="inlineStr">
        <s:is>
          <s:t>Provider sandbox E2E + role tests</s:t>
        </s:is>
      </s:c>
      <s:c r="N108" s="18" t="inlineStr">
        <s:is>
          <s:t>RG-08</s:t>
        </s:is>
      </s:c>
      <s:c r="O108" s="13" t="inlineStr">
        <s:is>
          <s:t>Use hosted payment surface where possible.</s:t>
        </s:is>
      </s:c>
      <s:c r="P108" s="18" t="inlineStr">
        <s:is>
          <s:t>billing UI</s:t>
        </s:is>
      </s:c>
      <s:c r="Q108" s="14">
        <s:f>INDEX('01_ROADMAP'!$C$5:$C$15,MATCH(B108,'01_ROADMAP'!$A$5:$A$15,0))</s:f>
        <s:v>46342.0</s:v>
      </s:c>
      <s:c r="R108" s="14">
        <s:f>INDEX('01_ROADMAP'!$D$5:$D$15,MATCH(B108,'01_ROADMAP'!$A$5:$A$15,0))</s:f>
        <s:v>46355.0</s:v>
      </s:c>
      <s:c r="S108" s="29" t="inlineStr">
        <s:is>
          <s:t>docs/backlog-deep-audit-2026-09-07.json#S5-B04</s:t>
        </s:is>
      </s:c>
      <s:c r="T108" s="13" t="inlineStr">
        <s:is>
          <s:t>FRONTEND</s:t>
        </s:is>
      </s:c>
      <s:c r="U108" s="13" t="inlineStr">
        <s:is>
          <s:t>Billing</s:t>
        </s:is>
      </s:c>
      <s:c r="V108" s="13" t="inlineStr">
        <s:is>
          <s:t>GA</s:t>
        </s:is>
      </s:c>
      <s:c r="W108" s="13" t="inlineStr">
        <s:is>
          <s:t>See companion DOCX; use Nuxt UI primitives and shared design system for user-facing tasks.</s:t>
        </s:is>
      </s:c>
      <s:c r="X108" s="13" t="inlineStr">
        <s:is>
          <s:t>Acceptance Criteria + Test Evidence + Release Gate</s:t>
        </s:is>
      </s:c>
      <s:c r="Y108" s="54" t="inlineStr">
        <s:is>
          <s:t>Pjesërisht</s:t>
        </s:is>
      </s:c>
      <s:c r="Z108" s="56" t="inlineStr">
        <s:is>
          <s:t>Faqja Billing shfaq katalogun real dhe trial/entitlement status; deklaron pagesat të paaktivizuara.</s:t>
        </s:is>
      </s:c>
      <s:c r="AA108" s="56" t="inlineStr">
        <s:is>
          <s:t>1. Checkout/upgrade/downgrade/cancel/portal, Billing role dhe provider-return flow nuk janë implementuar.</s:t>
        </s:is>
      </s:c>
      <s:c r="AB108" s="56" t="inlineStr">
        <s:is>
          <s:t>Prova e kërkuar nga backlog-u: Provider sandbox E2E + role tests
Kriteri për t'u verifikuar (nuk deklarohet i kaluar): Owner/Billing only; double checkout safe; past_due/cancelled states explicit; no card data handled by app if provider-hosted.
Pranimi kërkon edhe gate-et: RG-08. Asnjë gate nuk është shënuar Passed nga ky audit.</s:t>
        </s:is>
      </s:c>
      <s:c r="AC108" s="56" t="inlineStr">
        <s:is>
          <s:t>U rishikuan kodi/artefaktet dhe u kërkua implementimi i kësaj detyre. Nuk ka provë të ekzekutuar specifike që mbyll të gjithë kriterin; kontrollet globale nuk e zëvendësojnë atë.</s:t>
        </s:is>
      </s:c>
      <s:c r="AD108" s="56" t="inlineStr">
        <s:is>
          <s:t>apps/web/app/pages/app/[org]/[brand]/billing.vue</s:t>
        </s:is>
      </s:c>
      <s:c r="AE108" s="42" t="inlineStr">
        <s:is>
          <s:t>Pjesërisht — kërkon zhvillim</s:t>
        </s:is>
      </s:c>
      <s:c r="AF108" s="42" t="inlineStr">
        <s:is>
          <s:t>Po</s:t>
        </s:is>
      </s:c>
      <s:c r="AG108" s="42" t="inlineStr">
        <s:is>
          <s:t>Po — përzier me punë të jashtme</s:t>
        </s:is>
      </s:c>
      <s:c r="AH108" s="42" t="inlineStr">
        <s:is>
          <s:t>Checkout/upgrade/downgrade/cancel/portal, Billing role dhe provider-return flow nuk janë implementuar.</s:t>
        </s:is>
      </s:c>
      <s:c r="AI108" s="42" t="inlineStr">
        <s:is>
          <s:t>docs/backlog-code-handoff-2026-09-08.json#S5-B04</s:t>
        </s:is>
      </s:c>
      <s:c r="AJ108" s="42" t="inlineStr">
        <s:is>
          <s:t>Programmer B / review: Programmer A</s:t>
        </s:is>
      </s:c>
    </s:row>
    <s:row r="109" ht="180" customHeight="1" s="48">
      <s:c r="A109" s="17" t="inlineStr">
        <s:is>
          <s:t>S5-B05</s:t>
        </s:is>
      </s:c>
      <s:c r="B109" s="18" t="inlineStr">
        <s:is>
          <s:t>S5</s:t>
        </s:is>
      </s:c>
      <s:c r="C109" s="18" t="inlineStr">
        <s:is>
          <s:t>Usage UX</s:t>
        </s:is>
      </s:c>
      <s:c r="D109" s="12" t="inlineStr">
        <s:is>
          <s:t>Build quota and usage visibility</s:t>
        </s:is>
      </s:c>
      <s:c r="E109" s="13" t="inlineStr">
        <s:is>
          <s:t>Show text/image credits, storage/accounts/members usage, reserved vs consumed where useful and threshold warnings.</s:t>
        </s:is>
      </s:c>
      <s:c r="F109" s="13" t="inlineStr">
        <s:is>
          <s:t>Values reconcile with server ledger; 80/100% states clear; refresh after generation updates.</s:t>
        </s:is>
      </s:c>
      <s:c r="G109" s="18" t="inlineStr">
        <s:is>
          <s:t>S5-A07,S5-A06</s:t>
        </s:is>
      </s:c>
      <s:c r="H109" s="18" t="inlineStr">
        <s:is>
          <s:t>P1</s:t>
        </s:is>
      </s:c>
      <s:c r="I109" s="18" t="inlineStr">
        <s:is>
          <s:t>Programmer B</s:t>
        </s:is>
      </s:c>
      <s:c r="J109" s="18" t="inlineStr">
        <s:is>
          <s:t>Programmer A</s:t>
        </s:is>
      </s:c>
      <s:c r="K109" s="18" t="n">
        <s:v>7</s:v>
      </s:c>
      <s:c r="L109" s="28" t="inlineStr">
        <s:is>
          <s:t>In Progress</s:t>
        </s:is>
      </s:c>
      <s:c r="M109" s="13" t="inlineStr">
        <s:is>
          <s:t>E2E usage/limit fixtures</s:t>
        </s:is>
      </s:c>
      <s:c r="N109" s="18" t="inlineStr">
        <s:is>
          <s:t>RG-08</s:t>
        </s:is>
      </s:c>
      <s:c r="O109" s="13" t="inlineStr">
        <s:is>
          <s:t>Never rely on client counter.</s:t>
        </s:is>
      </s:c>
      <s:c r="P109" s="18" t="inlineStr">
        <s:is>
          <s:t>usage UI</s:t>
        </s:is>
      </s:c>
      <s:c r="Q109" s="14">
        <s:f>INDEX('01_ROADMAP'!$C$5:$C$15,MATCH(B109,'01_ROADMAP'!$A$5:$A$15,0))</s:f>
        <s:v>46342.0</s:v>
      </s:c>
      <s:c r="R109" s="14">
        <s:f>INDEX('01_ROADMAP'!$D$5:$D$15,MATCH(B109,'01_ROADMAP'!$A$5:$A$15,0))</s:f>
        <s:v>46355.0</s:v>
      </s:c>
      <s:c r="S109" s="29" t="inlineStr">
        <s:is>
          <s:t>docs/backlog-partial-progress-2026-09-08.json#S5-B05</s:t>
        </s:is>
      </s:c>
      <s:c r="T109" s="13" t="inlineStr">
        <s:is>
          <s:t>FRONTEND</s:t>
        </s:is>
      </s:c>
      <s:c r="U109" s="13" t="inlineStr">
        <s:is>
          <s:t>Platform</s:t>
        </s:is>
      </s:c>
      <s:c r="V109" s="13" t="inlineStr">
        <s:is>
          <s:t>GA</s:t>
        </s:is>
      </s:c>
      <s:c r="W109" s="13" t="inlineStr">
        <s:is>
          <s:t>See companion DOCX; use Nuxt UI primitives and shared design system for user-facing tasks.</s:t>
        </s:is>
      </s:c>
      <s:c r="X109" s="13" t="inlineStr">
        <s:is>
          <s:t>Acceptance Criteria + Test Evidence + Release Gate</s:t>
        </s:is>
      </s:c>
      <s:c r="Y109" s="54" t="inlineStr">
        <s:is>
          <s:t>Pjesërisht</s:t>
        </s:is>
      </s:c>
      <s:c r="Z109" s="55" t="inlineStr">
        <s:is>
          <s:t>Billing UI lexon /api/usage dhe shfaq current/limit, përqindjen dhe gjendjet available/warning/exhausted për postime, AI, storage, llogari sociale dhe anëtarë.</s:t>
        </s:is>
      </s:c>
      <s:c r="AA109" s="55" t="inlineStr">
        <s:is>
          <s:t>Mbeten refresh E2E pas gjenerimit/ngarkimit, reserved vs consumed visibility dhe copy/CTA e aprovuar për kufijtë 80/100%.</s:t>
        </s:is>
      </s:c>
      <s:c r="AB109" s="55" t="inlineStr">
        <s:is>
          <s:t>Prova e kërkuar nga backlog-u: E2E usage/limit fixtures
Kriteri për t'u verifikuar (nuk deklarohet i kaluar): Values reconcile with server ledger; 80/100% states clear; refresh after generation updates.
DA-15: Për çdo plan/version provo features/limits të shfaqura kundrejt serverit, konfigurim të pavlefshëm, downgrade dhe expiry; pagesat kërkojnë sandbox më vete.
Pranimi kërkon edhe gate-et: RG-08. Asnjë gate nuk është shënuar Passed nga ky audit.</s:t>
        </s:is>
      </s:c>
      <s:c r="AC109" s="55" t="inlineStr">
        <s:is>
          <s:t>Usage snapshot DB test dhe TypeScript kaluan; endpoint-i llogarit gjendjen në server.</s:t>
        </s:is>
      </s:c>
      <s:c r="AD109" s="55" t="inlineStr">
        <s:is>
          <s:t>apps/web/server/api/usage.get.ts
apps/web/server/utils/trials.ts
apps/web/app/pages/app/[business]/billing.vue</s:t>
        </s:is>
      </s:c>
      <s:c r="AE109" s="42" t="inlineStr">
        <s:is>
          <s:t>Pjesërisht — kërkon zhvillim</s:t>
        </s:is>
      </s:c>
      <s:c r="AF109" s="42" t="inlineStr">
        <s:is>
          <s:t>Po</s:t>
        </s:is>
      </s:c>
      <s:c r="AG109" s="42" t="inlineStr">
        <s:is>
          <s:t>Po, pas implementimit</s:t>
        </s:is>
      </s:c>
      <s:c r="AH109" s="42" t="inlineStr">
        <s:is>
          <s:t>Mbeten refresh E2E pas gjenerimit/ngarkimit, reserved vs consumed visibility dhe copy/CTA e aprovuar për kufijtë 80/100%.</s:t>
        </s:is>
      </s:c>
      <s:c r="AI109" s="42" t="inlineStr">
        <s:is>
          <s:t>docs/backlog-code-handoff-2026-09-08.json#S5-B05</s:t>
        </s:is>
      </s:c>
      <s:c r="AJ109" s="42" t="inlineStr">
        <s:is>
          <s:t>Programmer B / review: Programmer A</s:t>
        </s:is>
      </s:c>
    </s:row>
    <s:row r="110" ht="180" customHeight="1" s="48">
      <s:c r="A110" s="17" t="inlineStr">
        <s:is>
          <s:t>S5-B06</s:t>
        </s:is>
      </s:c>
      <s:c r="B110" s="18" t="inlineStr">
        <s:is>
          <s:t>S5</s:t>
        </s:is>
      </s:c>
      <s:c r="C110" s="18" t="inlineStr">
        <s:is>
          <s:t>Entitlements UX</s:t>
        </s:is>
      </s:c>
      <s:c r="D110" s="12" t="inlineStr">
        <s:is>
          <s:t>Implement feature gating and upgrade prompts</s:t>
        </s:is>
      </s:c>
      <s:c r="E110" s="13" t="inlineStr">
        <s:is>
          <s:t>Create centralized capability composable/component for disabled/locked features using server-provided entitlement snapshot and typed denial fallback.</s:t>
        </s:is>
      </s:c>
      <s:c r="F110" s="13" t="inlineStr">
        <s:is>
          <s:t>No scattered plan-name checks; backend denial still handled if snapshot stale; upgrade CTA has context.</s:t>
        </s:is>
      </s:c>
      <s:c r="G110" s="18" t="inlineStr">
        <s:is>
          <s:t>S5-A06</s:t>
        </s:is>
      </s:c>
      <s:c r="H110" s="18" t="inlineStr">
        <s:is>
          <s:t>P0</s:t>
        </s:is>
      </s:c>
      <s:c r="I110" s="18" t="inlineStr">
        <s:is>
          <s:t>Programmer B</s:t>
        </s:is>
      </s:c>
      <s:c r="J110" s="18" t="inlineStr">
        <s:is>
          <s:t>Programmer A</s:t>
        </s:is>
      </s:c>
      <s:c r="K110" s="18" t="n">
        <s:v>7</s:v>
      </s:c>
      <s:c r="L110" s="28" t="inlineStr">
        <s:is>
          <s:t>In Progress</s:t>
        </s:is>
      </s:c>
      <s:c r="M110" s="13" t="inlineStr">
        <s:is>
          <s:t>Unit/E2E entitlement matrix</s:t>
        </s:is>
      </s:c>
      <s:c r="N110" s="18" t="inlineStr">
        <s:is>
          <s:t>RG-08</s:t>
        </s:is>
      </s:c>
      <s:c r="O110" s="13" t="inlineStr">
        <s:is>
          <s:t>UX gate not security gate.</s:t>
        </s:is>
      </s:c>
      <s:c r="P110" s="18" t="inlineStr">
        <s:is>
          <s:t>entitlement UI layer</s:t>
        </s:is>
      </s:c>
      <s:c r="Q110" s="14">
        <s:f>INDEX('01_ROADMAP'!$C$5:$C$15,MATCH(B110,'01_ROADMAP'!$A$5:$A$15,0))</s:f>
        <s:v>46342.0</s:v>
      </s:c>
      <s:c r="R110" s="14">
        <s:f>INDEX('01_ROADMAP'!$D$5:$D$15,MATCH(B110,'01_ROADMAP'!$A$5:$A$15,0))</s:f>
        <s:v>46355.0</s:v>
      </s:c>
      <s:c r="S110" s="29" t="inlineStr">
        <s:is>
          <s:t>docs/backlog-partial-progress-2026-09-08.json#S5-B06</s:t>
        </s:is>
      </s:c>
      <s:c r="T110" s="13" t="inlineStr">
        <s:is>
          <s:t>FRONTEND</s:t>
        </s:is>
      </s:c>
      <s:c r="U110" s="13" t="inlineStr">
        <s:is>
          <s:t>Platform</s:t>
        </s:is>
      </s:c>
      <s:c r="V110" s="13" t="inlineStr">
        <s:is>
          <s:t>GA</s:t>
        </s:is>
      </s:c>
      <s:c r="W110" s="13" t="inlineStr">
        <s:is>
          <s:t>See companion DOCX; use Nuxt UI primitives and shared design system for user-facing tasks.</s:t>
        </s:is>
      </s:c>
      <s:c r="X110" s="13" t="inlineStr">
        <s:is>
          <s:t>Acceptance Criteria + Test Evidence + Release Gate</s:t>
        </s:is>
      </s:c>
      <s:c r="Y110" s="54" t="inlineStr">
        <s:is>
          <s:t>Pjesërisht</s:t>
        </s:is>
      </s:c>
      <s:c r="Z110" s="56" t="inlineStr">
        <s:is>
          <s:t>Feature gating mbështetet te feature codes/limits të tipizuara dhe backend denial; UI e usage/capabilities nuk kontrollon emra planesh të shpërndarë.</s:t>
        </s:is>
      </s:c>
      <s:c r="AA110" s="56" t="inlineStr">
        <s:is>
          <s:t>Mbeten composable i unifikuar për upgrade context, stale-snapshot E2E dhe matrica e çdo denial-i/CTA-je.</s:t>
        </s:is>
      </s:c>
      <s:c r="AB110" s="56" t="inlineStr">
        <s:is>
          <s:t>Prova e kërkuar nga backlog-u: Unit/E2E entitlement matrix
Kriteri për t'u verifikuar (nuk deklarohet i kaluar): No scattered plan-name checks; backend denial still handled if snapshot stale; upgrade CTA has context.
DA-15: Për çdo plan/version provo features/limits të shfaqura kundrejt serverit, konfigurim të pavlefshëm, downgrade dhe expiry; pagesat kërkojnë sandbox më vete.
Pranimi kërkon edhe gate-et: RG-08. Asnjë gate nuk është shënuar Passed nga ky audit.</s:t>
        </s:is>
      </s:c>
      <s:c r="AC110" s="56" t="inlineStr">
        <s:is>
          <s:t>Catalog/entitlement integration tests, lint dhe app/server types kaluan.</s:t>
        </s:is>
      </s:c>
      <s:c r="AD110" s="56" t="inlineStr">
        <s:is>
          <s:t>apps/web/shared/schemas/catalog.ts
apps/web/server/utils/trials.ts
apps/web/server/api/capabilities.get.ts
apps/web/server/api/usage.get.ts</s:t>
        </s:is>
      </s:c>
      <s:c r="AE110" s="42" t="inlineStr">
        <s:is>
          <s:t>Pjesërisht — kërkon zhvillim</s:t>
        </s:is>
      </s:c>
      <s:c r="AF110" s="42" t="inlineStr">
        <s:is>
          <s:t>Po</s:t>
        </s:is>
      </s:c>
      <s:c r="AG110" s="42" t="inlineStr">
        <s:is>
          <s:t>Po, pas implementimit</s:t>
        </s:is>
      </s:c>
      <s:c r="AH110" s="42" t="inlineStr">
        <s:is>
          <s:t>Mbeten composable i unifikuar për upgrade context, stale-snapshot E2E dhe matrica e çdo denial-i/CTA-je.</s:t>
        </s:is>
      </s:c>
      <s:c r="AI110" s="42" t="inlineStr">
        <s:is>
          <s:t>docs/backlog-code-handoff-2026-09-08.json#S5-B06</s:t>
        </s:is>
      </s:c>
      <s:c r="AJ110" s="42" t="inlineStr">
        <s:is>
          <s:t>Programmer B / review: Programmer A</s:t>
        </s:is>
      </s:c>
    </s:row>
    <s:row r="111" ht="159" customHeight="1" s="48">
      <s:c r="A111" s="17" t="inlineStr">
        <s:is>
          <s:t>S5-B07</s:t>
        </s:is>
      </s:c>
      <s:c r="B111" s="18" t="inlineStr">
        <s:is>
          <s:t>S5</s:t>
        </s:is>
      </s:c>
      <s:c r="C111" s="18" t="inlineStr">
        <s:is>
          <s:t>Landing</s:t>
        </s:is>
      </s:c>
      <s:c r="D111" s="12" t="inlineStr">
        <s:is>
          <s:t>Polish conversion/performance without dark patterns</s:t>
        </s:is>
      </s:c>
      <s:c r="E111" s="13" t="inlineStr">
        <s:is>
          <s:t>Polish landing conversion, SEO metadata/structured content, responsive motion, pricing clarity, FAQ/trust/security surfaces and Web Vitals without dark patterns.</s:t>
        </s:is>
      </s:c>
      <s:c r="F111" s="13" t="inlineStr">
        <s:is>
          <s:t>Public pages meet agreed performance budget; motion reduced mode passes; pricing/CTA claims match product entitlements.</s:t>
        </s:is>
      </s:c>
      <s:c r="G111" s="18" t="inlineStr">
        <s:is>
          <s:t>S5-B03,S0-B05</s:t>
        </s:is>
      </s:c>
      <s:c r="H111" s="18" t="inlineStr">
        <s:is>
          <s:t>P1</s:t>
        </s:is>
      </s:c>
      <s:c r="I111" s="18" t="inlineStr">
        <s:is>
          <s:t>Programmer B</s:t>
        </s:is>
      </s:c>
      <s:c r="J111" s="18" t="inlineStr">
        <s:is>
          <s:t>Programmer A</s:t>
        </s:is>
      </s:c>
      <s:c r="K111" s="18" t="n">
        <s:v>6</s:v>
      </s:c>
      <s:c r="L111" s="28" t="inlineStr">
        <s:is>
          <s:t>In Progress</s:t>
        </s:is>
      </s:c>
      <s:c r="M111" s="13" t="inlineStr">
        <s:is>
          <s:t>Lighthouse + content review</s:t>
        </s:is>
      </s:c>
      <s:c r="N111" s="18" t="inlineStr">
        <s:is>
          <s:t>RG-14</s:t>
        </s:is>
      </s:c>
      <s:c r="O111" s="13" t="inlineStr">
        <s:is>
          <s:t>Truthful marketing requirement.</s:t>
        </s:is>
      </s:c>
      <s:c r="P111" s="18" t="inlineStr">
        <s:is>
          <s:t>landing polish</s:t>
        </s:is>
      </s:c>
      <s:c r="Q111" s="14">
        <s:f>INDEX('01_ROADMAP'!$C$5:$C$15,MATCH(B111,'01_ROADMAP'!$A$5:$A$15,0))</s:f>
        <s:v>46342.0</s:v>
      </s:c>
      <s:c r="R111" s="14">
        <s:f>INDEX('01_ROADMAP'!$D$5:$D$15,MATCH(B111,'01_ROADMAP'!$A$5:$A$15,0))</s:f>
        <s:v>46355.0</s:v>
      </s:c>
      <s:c r="S111" s="29" t="inlineStr">
        <s:is>
          <s:t>docs/backlog-deep-audit-2026-09-07.json#S5-B07</s:t>
        </s:is>
      </s:c>
      <s:c r="T111" s="13" t="inlineStr">
        <s:is>
          <s:t>FRONTEND</s:t>
        </s:is>
      </s:c>
      <s:c r="U111" s="13" t="inlineStr">
        <s:is>
          <s:t>Landing</s:t>
        </s:is>
      </s:c>
      <s:c r="V111" s="13" t="inlineStr">
        <s:is>
          <s:t>GA</s:t>
        </s:is>
      </s:c>
      <s:c r="W111" s="13" t="inlineStr">
        <s:is>
          <s:t>See companion DOCX; use Nuxt UI primitives and shared design system for user-facing tasks.</s:t>
        </s:is>
      </s:c>
      <s:c r="X111" s="13" t="inlineStr">
        <s:is>
          <s:t>Acceptance Criteria + Test Evidence + Release Gate</s:t>
        </s:is>
      </s:c>
      <s:c r="Y111" s="54" t="inlineStr">
        <s:is>
          <s:t>Pjesërisht</s:t>
        </s:is>
      </s:c>
      <s:c r="Z111" s="55" t="inlineStr">
        <s:is>
          <s:t>Landing/pricing/help/security janë responsive; CTA drejt signup, euro dhe pa demonstrim.</s:t>
        </s:is>
      </s:c>
      <s:c r="AA111" s="55" t="inlineStr">
        <s:is>
          <s:t>1. Duhet content review me operator/plan të miratuar dhe matje aktuale Lighthouse/Web Vitals/reduced-motion.
2. DA-13: Përditëso ADR/README/validation dhe copy sipas capabilities, Meta opsionale dhe scope-it posts-only. Raporti BACKLOG-REVIEW-SQ është përditësuar nga ky audit; kjo nuk zëvendëson dokumentet e tjera.</s:t>
        </s:is>
      </s:c>
      <s:c r="AB111" s="55" t="inlineStr">
        <s:is>
          <s:t>Prova e kërkuar nga backlog-u: Lighthouse + content review
Kriteri për t'u verifikuar (nuk deklarohet i kaluar): Public pages meet agreed performance budget; motion reduced mode passes; pricing/CTA claims match product entitlements.
DA-13: Content review në local bypass dhe public verification, pa përshkrime të shërbimeve të paaktivizuara si aktive; operatori pranon versionin publik.
Pranimi kërkon edhe gate-et: RG-14. Asnjë gate nuk është shënuar Passed nga ky audit.</s:t>
        </s:is>
      </s:c>
      <s:c r="AC111" s="55" t="inlineStr">
        <s:is>
          <s:t>hq-deep-audit-live-e2e-rerun.log: faqet publike dhe rrugët drejt regjistrimit kalojnë në desktop/mobile. Lighthouse/Web Vitals në build production nuk u matën.</s:t>
        </s:is>
      </s:c>
      <s:c r="AD111" s="55" t="inlineStr">
        <s:is>
          <s:t>apps/web/app/pages/index.vue
apps/web/app/pages/pricing.vue
apps/web/app/components/PolicyPage.vue
README.md
docs/VALIDATION.md
docs/adr/ADR-001-frontend-demo.md
apps/web/app/pages/help.vue:9
apps/web/app/pages/pricing.vue:43
apps/web/app/pages/app/[org]/[brand]/settings.vue:170
apps/web/app/components/CopilotPanel.vue:12
DA-13: Dokumentet e demonstrimit nuk përfaqësojnë backend-in real. Help/pricing/settings përmendin verifikim emaili pa kusht; konfigurimi lokal e anashkalon. Copilot e rendit Meta si hap 2 pa shënimin opsional. Galeria ende ka fallback tekstual Unsplash.</s:t>
        </s:is>
      </s:c>
      <s:c r="AE111" s="42" t="inlineStr">
        <s:is>
          <s:t>Pjesërisht — kërkon zhvillim</s:t>
        </s:is>
      </s:c>
      <s:c r="AF111" s="42" t="inlineStr">
        <s:is>
          <s:t>Po</s:t>
        </s:is>
      </s:c>
      <s:c r="AG111" s="42" t="inlineStr">
        <s:is>
          <s:t>Po — përzier me punë të jashtme</s:t>
        </s:is>
      </s:c>
      <s:c r="AH111" s="42" t="inlineStr">
        <s:is>
          <s:t>Duhet content review me operator/plan të miratuar dhe matje aktuale Lighthouse/Web Vitals/reduced-motion. 2.</s:t>
        </s:is>
      </s:c>
      <s:c r="AI111" s="42" t="inlineStr">
        <s:is>
          <s:t>docs/backlog-code-handoff-2026-09-08.json#S5-B07</s:t>
        </s:is>
      </s:c>
      <s:c r="AJ111" s="42" t="inlineStr">
        <s:is>
          <s:t>Programmer B / review: Programmer A</s:t>
        </s:is>
      </s:c>
    </s:row>
    <s:row r="112" ht="155.1" customHeight="1" s="48">
      <s:c r="A112" s="17" t="inlineStr">
        <s:is>
          <s:t>S5-B08</s:t>
        </s:is>
      </s:c>
      <s:c r="B112" s="18" t="inlineStr">
        <s:is>
          <s:t>S5</s:t>
        </s:is>
      </s:c>
      <s:c r="C112" s="18" t="inlineStr">
        <s:is>
          <s:t>Accessibility</s:t>
        </s:is>
      </s:c>
      <s:c r="D112" s="12" t="inlineStr">
        <s:is>
          <s:t>Run full app accessibility remediation</s:t>
        </s:is>
      </s:c>
      <s:c r="E112" s="13" t="inlineStr">
        <s:is>
          <s:t>Scan critical authenticated routes, keyboard flows, dialogs/calendar/charts and fix serious/critical issues; add regression checks.</s:t>
        </s:is>
      </s:c>
      <s:c r="F112" s="13" t="inlineStr">
        <s:is>
          <s:t>No serious/critical automated issue in critical paths; manual keyboard checklist passes.</s:t>
        </s:is>
      </s:c>
      <s:c r="G112" s="18" t="inlineStr">
        <s:is>
          <s:t>S4-B09,S5-B01,S5-B04</s:t>
        </s:is>
      </s:c>
      <s:c r="H112" s="18" t="inlineStr">
        <s:is>
          <s:t>P0</s:t>
        </s:is>
      </s:c>
      <s:c r="I112" s="18" t="inlineStr">
        <s:is>
          <s:t>Programmer B</s:t>
        </s:is>
      </s:c>
      <s:c r="J112" s="18" t="inlineStr">
        <s:is>
          <s:t>Programmer A</s:t>
        </s:is>
      </s:c>
      <s:c r="K112" s="18" t="n">
        <s:v>8</s:v>
      </s:c>
      <s:c r="L112" s="28" t="inlineStr">
        <s:is>
          <s:t>In Progress</s:t>
        </s:is>
      </s:c>
      <s:c r="M112" s="13" t="inlineStr">
        <s:is>
          <s:t>axe + manual keyboard/screen-reader spot checks</s:t>
        </s:is>
      </s:c>
      <s:c r="N112" s="18" t="inlineStr">
        <s:is>
          <s:t>RG-14</s:t>
        </s:is>
      </s:c>
      <s:c r="O112" s="13" t="inlineStr">
        <s:is>
          <s:t>Accessibility release gate.</s:t>
        </s:is>
      </s:c>
      <s:c r="P112" s="18" t="inlineStr">
        <s:is>
          <s:t>a11y remediation</s:t>
        </s:is>
      </s:c>
      <s:c r="Q112" s="14">
        <s:f>INDEX('01_ROADMAP'!$C$5:$C$15,MATCH(B112,'01_ROADMAP'!$A$5:$A$15,0))</s:f>
        <s:v>46342.0</s:v>
      </s:c>
      <s:c r="R112" s="14">
        <s:f>INDEX('01_ROADMAP'!$D$5:$D$15,MATCH(B112,'01_ROADMAP'!$A$5:$A$15,0))</s:f>
        <s:v>46355.0</s:v>
      </s:c>
      <s:c r="S112" s="29" t="inlineStr">
        <s:is>
          <s:t>docs/backlog-deep-audit-2026-09-07.json#S5-B08</s:t>
        </s:is>
      </s:c>
      <s:c r="T112" s="13" t="inlineStr">
        <s:is>
          <s:t>FRONTEND</s:t>
        </s:is>
      </s:c>
      <s:c r="U112" s="13" t="inlineStr">
        <s:is>
          <s:t>Platform</s:t>
        </s:is>
      </s:c>
      <s:c r="V112" s="13" t="inlineStr">
        <s:is>
          <s:t>GA</s:t>
        </s:is>
      </s:c>
      <s:c r="W112" s="13" t="inlineStr">
        <s:is>
          <s:t>See companion DOCX; use Nuxt UI primitives and shared design system for user-facing tasks.</s:t>
        </s:is>
      </s:c>
      <s:c r="X112" s="13" t="inlineStr">
        <s:is>
          <s:t>Acceptance Criteria + Test Evidence + Release Gate</s:t>
        </s:is>
      </s:c>
      <s:c r="Y112" s="54" t="inlineStr">
        <s:is>
          <s:t>Pjesërisht</s:t>
        </s:is>
      </s:c>
      <s:c r="Z112" s="56" t="inlineStr">
        <s:is>
          <s:t>Nuxt UI primitives, labels/focus dhe reduced-motion ekzistojnë; axe është në testet live dhe provat e fundit mbulojnë desktop/mobile pa overflow.</s:t>
        </s:is>
      </s:c>
      <s:c r="AA112" s="56" t="inlineStr">
        <s:is>
          <s:t>1. Përfundo accessibility të formularëve/modaleve/fault states në dark/light, keyboard dhe screen reader. Axe në 7 faqe dashboard-i kalon në Chromium desktop/mobile; nuk mbulon të gjitha gjendjet ose pajisjet.</s:t>
        </s:is>
      </s:c>
      <s:c r="AB112" s="56" t="inlineStr">
        <s:is>
          <s:t>Prova e kërkuar nga backlog-u: axe + manual keyboard/screen-reader spot checks
Kriteri për t'u verifikuar (nuk deklarohet i kaluar): No serious/critical automated issue in critical paths; manual keyboard checklist passes.
Pranimi kërkon edhe gate-et: RG-14. Asnjë gate nuk është shënuar Passed nga ky audit.</s:t>
        </s:is>
      </s:c>
      <s:c r="AC112" s="56"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112" s="56" t="inlineStr">
        <s:is>
          <s:t>apps/web/tests/e2e/live.spec.ts
apps/web/app/assets/css/main.css
docs/VALIDATION.md
hq-optional-e2e.log</s:t>
        </s:is>
      </s:c>
      <s:c r="AE112" s="42" t="inlineStr">
        <s:is>
          <s:t>Pjesërisht — kërkon zhvillim</s:t>
        </s:is>
      </s:c>
      <s:c r="AF112" s="42" t="inlineStr">
        <s:is>
          <s:t>Po</s:t>
        </s:is>
      </s:c>
      <s:c r="AG112" s="42" t="inlineStr">
        <s:is>
          <s:t>Po, pas implementimit</s:t>
        </s:is>
      </s:c>
      <s:c r="AH112" s="42" t="inlineStr">
        <s:is>
          <s:t>Përfundo accessibility të formularëve/modaleve/fault states në dark/light, keyboard dhe screen reader. Axe në 7 faqe dashboard-i kalon në Chromium desktop/mobile; nuk mbulon të gjitha gjendjet ose pajisjet.</s:t>
        </s:is>
      </s:c>
      <s:c r="AI112" s="42" t="inlineStr">
        <s:is>
          <s:t>docs/backlog-code-handoff-2026-09-08.json#S5-B08</s:t>
        </s:is>
      </s:c>
      <s:c r="AJ112" s="42" t="inlineStr">
        <s:is>
          <s:t>Programmer B / review: Programmer A</s:t>
        </s:is>
      </s:c>
    </s:row>
    <s:row r="113" ht="155.1" customHeight="1" s="48">
      <s:c r="A113" s="17" t="inlineStr">
        <s:is>
          <s:t>S5-B09</s:t>
        </s:is>
      </s:c>
      <s:c r="B113" s="18" t="inlineStr">
        <s:is>
          <s:t>S5</s:t>
        </s:is>
      </s:c>
      <s:c r="C113" s="18" t="inlineStr">
        <s:is>
          <s:t>Commercial E2E</s:t>
        </s:is>
      </s:c>
      <s:c r="D113" s="12" t="inlineStr">
        <s:is>
          <s:t>Automate analytics/billing/entitlement journeys</s:t>
        </s:is>
      </s:c>
      <s:c r="E113" s="13" t="inlineStr">
        <s:is>
          <s:t>Add Playwright cases for upgrade, quota exhaustion, downgrade, advanced analytics gating and billing-role access using fake/sandbox provider.</s:t>
        </s:is>
      </s:c>
      <s:c r="F113" s="13" t="inlineStr">
        <s:is>
          <s:t>All commercial state transitions produce expected UI/server behavior; tests deterministic.</s:t>
        </s:is>
      </s:c>
      <s:c r="G113" s="18" t="inlineStr">
        <s:is>
          <s:t>S5-B01,S5-B04,S5-B05,S5-B06</s:t>
        </s:is>
      </s:c>
      <s:c r="H113" s="18" t="inlineStr">
        <s:is>
          <s:t>P0</s:t>
        </s:is>
      </s:c>
      <s:c r="I113" s="18" t="inlineStr">
        <s:is>
          <s:t>Programmer B</s:t>
        </s:is>
      </s:c>
      <s:c r="J113" s="18" t="inlineStr">
        <s:is>
          <s:t>Programmer A</s:t>
        </s:is>
      </s:c>
      <s:c r="K113" s="18" t="n">
        <s:v>9</s:v>
      </s:c>
      <s:c r="L113" s="28" t="inlineStr">
        <s:is>
          <s:t>In Progress</s:t>
        </s:is>
      </s:c>
      <s:c r="M113" s="13" t="inlineStr">
        <s:is>
          <s:t>Playwright commercial suite</s:t>
        </s:is>
      </s:c>
      <s:c r="N113" s="18" t="inlineStr">
        <s:is>
          <s:t>RG-08,RG-14</s:t>
        </s:is>
      </s:c>
      <s:c r="O113" s="13" t="inlineStr">
        <s:is>
          <s:t>No real payment/customer data.</s:t>
        </s:is>
      </s:c>
      <s:c r="P113" s="18" t="inlineStr">
        <s:is>
          <s:t>billing/analytics E2E</s:t>
        </s:is>
      </s:c>
      <s:c r="Q113" s="14">
        <s:f>INDEX('01_ROADMAP'!$C$5:$C$15,MATCH(B113,'01_ROADMAP'!$A$5:$A$15,0))</s:f>
        <s:v>46342.0</s:v>
      </s:c>
      <s:c r="R113" s="14">
        <s:f>INDEX('01_ROADMAP'!$D$5:$D$15,MATCH(B113,'01_ROADMAP'!$A$5:$A$15,0))</s:f>
        <s:v>46355.0</s:v>
      </s:c>
      <s:c r="S113" s="29" t="inlineStr">
        <s:is>
          <s:t>docs/backlog-deep-audit-2026-09-07.json#S5-B09</s:t>
        </s:is>
      </s:c>
      <s:c r="T113" s="13" t="inlineStr">
        <s:is>
          <s:t>FRONTEND</s:t>
        </s:is>
      </s:c>
      <s:c r="U113" s="13" t="inlineStr">
        <s:is>
          <s:t>Analytics</s:t>
        </s:is>
      </s:c>
      <s:c r="V113" s="13" t="inlineStr">
        <s:is>
          <s:t>GA</s:t>
        </s:is>
      </s:c>
      <s:c r="W113" s="13" t="inlineStr">
        <s:is>
          <s:t>See companion DOCX; use Nuxt UI primitives and shared design system for user-facing tasks.</s:t>
        </s:is>
      </s:c>
      <s:c r="X113" s="13" t="inlineStr">
        <s:is>
          <s:t>Acceptance Criteria + Test Evidence + Release Gate</s:t>
        </s:is>
      </s:c>
      <s:c r="Y113" s="54" t="inlineStr">
        <s:is>
          <s:t>Pjesërisht</s:t>
        </s:is>
      </s:c>
      <s:c r="Z113" s="55" t="inlineStr">
        <s:is>
          <s:t>Testet PostgreSQL mbulojnë trial, expiry, duplicate identities dhe paid entitlement.</s:t>
        </s:is>
      </s:c>
      <s:c r="AA113" s="55" t="inlineStr">
        <s:is>
          <s:t>1. Nuk ka commercial E2E upgrade/downgrade/checkout/billing-role; analytics është deferred.</s:t>
        </s:is>
      </s:c>
      <s:c r="AB113" s="55" t="inlineStr">
        <s:is>
          <s:t>Prova e kërkuar nga backlog-u: Playwright commercial suite
Kriteri për t'u verifikuar (nuk deklarohet i kaluar): All commercial state transitions produce expected UI/server behavior; tests deterministic.
Pranimi kërkon edhe gate-et: RG-08,RG-14. Asnjë gate nuk është shënuar Passed nga ky audit.</s:t>
        </s:is>
      </s:c>
      <s:c r="AC113" s="55" t="inlineStr">
        <s:is>
          <s:t>U rishikuan kodi/artefaktet dhe u kërkua implementimi i kësaj detyre. Nuk ka provë të ekzekutuar specifike që mbyll të gjithë kriterin; kontrollet globale nuk e zëvendësojnë atë.</s:t>
        </s:is>
      </s:c>
      <s:c r="AD113" s="55" t="inlineStr">
        <s:is>
          <s:t>apps/web/tests/integration/server.test.ts</s:t>
        </s:is>
      </s:c>
      <s:c r="AE113" s="42" t="inlineStr">
        <s:is>
          <s:t>Pjesërisht — kërkon zhvillim</s:t>
        </s:is>
      </s:c>
      <s:c r="AF113" s="42" t="inlineStr">
        <s:is>
          <s:t>Po</s:t>
        </s:is>
      </s:c>
      <s:c r="AG113" s="42" t="inlineStr">
        <s:is>
          <s:t>Po, pas implementimit</s:t>
        </s:is>
      </s:c>
      <s:c r="AH113" s="42" t="inlineStr">
        <s:is>
          <s:t>Nuk ka commercial E2E upgrade/downgrade/checkout/billing-role; analytics është deferred.</s:t>
        </s:is>
      </s:c>
      <s:c r="AI113" s="42" t="inlineStr">
        <s:is>
          <s:t>docs/backlog-code-handoff-2026-09-08.json#S5-B09</s:t>
        </s:is>
      </s:c>
      <s:c r="AJ113" s="42" t="inlineStr">
        <s:is>
          <s:t>Programmer B / review: Programmer A</s:t>
        </s:is>
      </s:c>
    </s:row>
    <s:row r="114" ht="155.1" customHeight="1" s="48">
      <s:c r="A114" s="17" t="inlineStr">
        <s:is>
          <s:t>S6-A01</s:t>
        </s:is>
      </s:c>
      <s:c r="B114" s="18" t="inlineStr">
        <s:is>
          <s:t>S6</s:t>
        </s:is>
      </s:c>
      <s:c r="C114" s="18" t="inlineStr">
        <s:is>
          <s:t>Observability</s:t>
        </s:is>
      </s:c>
      <s:c r="D114" s="12" t="inlineStr">
        <s:is>
          <s:t>Instrument API/worker with OpenTelemetry and structured logs</s:t>
        </s:is>
      </s:c>
      <s:c r="E114" s="13" t="inlineStr">
        <s:is>
          <s:t>Add trace/request correlation, spans for DB/queue/AI/Meta, safe structured fields and error tracking release tags.</s:t>
        </s:is>
      </s:c>
      <s:c r="F114" s="13" t="inlineStr">
        <s:is>
          <s:t>One staging generation/publish traces across API-&gt;queue-&gt;worker/provider; secrets/raw prompts absent from default logs.</s:t>
        </s:is>
      </s:c>
      <s:c r="G114" s="18" t="inlineStr">
        <s:is>
          <s:t>S4-A07,S5-A09</s:t>
        </s:is>
      </s:c>
      <s:c r="H114" s="18" t="inlineStr">
        <s:is>
          <s:t>P0</s:t>
        </s:is>
      </s:c>
      <s:c r="I114" s="18" t="inlineStr">
        <s:is>
          <s:t>Programmer A</s:t>
        </s:is>
      </s:c>
      <s:c r="J114" s="18" t="inlineStr">
        <s:is>
          <s:t>Programmer B</s:t>
        </s:is>
      </s:c>
      <s:c r="K114" s="18" t="n">
        <s:v>9</s:v>
      </s:c>
      <s:c r="L114" s="30" t="inlineStr">
        <s:is>
          <s:t>Not Started</s:t>
        </s:is>
      </s:c>
      <s:c r="M114" s="13" t="inlineStr">
        <s:is>
          <s:t>Trace walkthrough + log redaction tests</s:t>
        </s:is>
      </s:c>
      <s:c r="N114" s="18" t="inlineStr">
        <s:is>
          <s:t>RG-10</s:t>
        </s:is>
      </s:c>
      <s:c r="O114" s="13" t="inlineStr">
        <s:is>
          <s:t>PII/secret logging allowlist.</s:t>
        </s:is>
      </s:c>
      <s:c r="P114" s="18" t="inlineStr">
        <s:is>
          <s:t>OTel/logging instrumentation</s:t>
        </s:is>
      </s:c>
      <s:c r="Q114" s="14">
        <s:f>INDEX('01_ROADMAP'!$C$5:$C$15,MATCH(B114,'01_ROADMAP'!$A$5:$A$15,0))</s:f>
        <s:v>46356.0</s:v>
      </s:c>
      <s:c r="R114" s="14">
        <s:f>INDEX('01_ROADMAP'!$D$5:$D$15,MATCH(B114,'01_ROADMAP'!$A$5:$A$15,0))</s:f>
        <s:v>46369.0</s:v>
      </s:c>
      <s:c r="S114" s="29" t="inlineStr">
        <s:is>
          <s:t>docs/backlog-deep-audit-2026-09-07.json#S6-A01</s:t>
        </s:is>
      </s:c>
      <s:c r="T114" s="13" t="inlineStr">
        <s:is>
          <s:t>DEVOPS/OPS</s:t>
        </s:is>
      </s:c>
      <s:c r="U114" s="13" t="inlineStr">
        <s:is>
          <s:t>Operations</s:t>
        </s:is>
      </s:c>
      <s:c r="V114" s="13" t="inlineStr">
        <s:is>
          <s:t>GA</s:t>
        </s:is>
      </s:c>
      <s:c r="W114" s="13" t="inlineStr">
        <s:is>
          <s:t>N/A / API-domain contract consumed by frontend where applicable.</s:t>
        </s:is>
      </s:c>
      <s:c r="X114" s="13" t="inlineStr">
        <s:is>
          <s:t>Acceptance Criteria + Test Evidence + Release Gate</s:t>
        </s:is>
      </s:c>
      <s:c r="Y114" s="57" t="inlineStr">
        <s:is>
          <s:t>Pa filluar</s:t>
        </s:is>
      </s:c>
      <s:c r="Z114" s="56" t="inlineStr">
        <s:is>
          <s:t>Ka log bazë për publisher failures dhe audit_events.</s:t>
        </s:is>
      </s:c>
      <s:c r="AA114" s="56" t="inlineStr">
        <s:is>
          <s:t>1. Nuk ka OpenTelemetry, trace/request correlation, instrumentim DB/queue/providers apo redaction/release-tag tests.</s:t>
        </s:is>
      </s:c>
      <s:c r="AB114" s="56" t="inlineStr">
        <s:is>
          <s:t>Prova e kërkuar nga backlog-u: Trace walkthrough + log redaction tests
Kriteri për t'u verifikuar (nuk deklarohet i kaluar): One staging generation/publish traces across API-&gt;queue-&gt;worker/provider; secrets/raw prompts absent from default logs.
Pranimi kërkon edhe gate-et: RG-10. Asnjë gate nuk është shënuar Passed nga ky audit.</s:t>
        </s:is>
      </s:c>
      <s:c r="AC114" s="56" t="inlineStr">
        <s:is>
          <s:t>U rishikuan kodi/artefaktet dhe u kërkua implementimi i kësaj detyre. Nuk ka provë të ekzekutuar specifike që mbyll të gjithë kriterin; kontrollet globale nuk e zëvendësojnë atë.</s:t>
        </s:is>
      </s:c>
      <s:c r="AD114" s="56" t="inlineStr">
        <s:is>
          <s:t>apps/web/server/plugins/publisher.ts</s:t>
        </s:is>
      </s:c>
      <s:c r="AE114" s="42" t="inlineStr">
        <s:is>
          <s:t>Pa filluar</s:t>
        </s:is>
      </s:c>
      <s:c r="AF114" s="42" t="inlineStr">
        <s:is>
          <s:t>Po</s:t>
        </s:is>
      </s:c>
      <s:c r="AG114" s="42" t="inlineStr">
        <s:is>
          <s:t>Po, pas implementimit</s:t>
        </s:is>
      </s:c>
      <s:c r="AH114" s="42" t="inlineStr">
        <s:is>
          <s:t>Nuk ka OpenTelemetry, trace/request correlation, instrumentim DB/queue/providers apo redaction/release-tag tests.</s:t>
        </s:is>
      </s:c>
      <s:c r="AI114" s="42" t="inlineStr">
        <s:is>
          <s:t>docs/backlog-code-handoff-2026-09-08.json#S6-A01</s:t>
        </s:is>
      </s:c>
      <s:c r="AJ114" s="42" t="inlineStr">
        <s:is>
          <s:t>Programmer A / review: Programmer B</s:t>
        </s:is>
      </s:c>
    </s:row>
    <s:row r="115" ht="155.1" customHeight="1" s="48">
      <s:c r="A115" s="17" t="inlineStr">
        <s:is>
          <s:t>S6-A02</s:t>
        </s:is>
      </s:c>
      <s:c r="B115" s="18" t="inlineStr">
        <s:is>
          <s:t>S6</s:t>
        </s:is>
      </s:c>
      <s:c r="C115" s="18" t="inlineStr">
        <s:is>
          <s:t>Observability</s:t>
        </s:is>
      </s:c>
      <s:c r="D115" s="12" t="inlineStr">
        <s:is>
          <s:t>Create SLO dashboards and actionable alerts</s:t>
        </s:is>
      </s:c>
      <s:c r="E115" s="13" t="inlineStr">
        <s:is>
          <s:t>Build dashboards for 5xx/p95, queue age/depth, publish success/error classes, OAuth health, AI latency/cost and DB saturation; alerts map to runbooks.</s:t>
        </s:is>
      </s:c>
      <s:c r="F115" s="13" t="inlineStr">
        <s:is>
          <s:t>Synthetic incident triggers expected alert; metric labels bounded cardinality; no per-org metric labels.</s:t>
        </s:is>
      </s:c>
      <s:c r="G115" s="18" t="inlineStr">
        <s:is>
          <s:t>S6-A01</s:t>
        </s:is>
      </s:c>
      <s:c r="H115" s="18" t="inlineStr">
        <s:is>
          <s:t>P0</s:t>
        </s:is>
      </s:c>
      <s:c r="I115" s="18" t="inlineStr">
        <s:is>
          <s:t>Programmer A</s:t>
        </s:is>
      </s:c>
      <s:c r="J115" s="18" t="inlineStr">
        <s:is>
          <s:t>Programmer B</s:t>
        </s:is>
      </s:c>
      <s:c r="K115" s="18" t="n">
        <s:v>8</s:v>
      </s:c>
      <s:c r="L115" s="30" t="inlineStr">
        <s:is>
          <s:t>Not Started</s:t>
        </s:is>
      </s:c>
      <s:c r="M115" s="13" t="inlineStr">
        <s:is>
          <s:t>Staging alert fire/drill</s:t>
        </s:is>
      </s:c>
      <s:c r="N115" s="18" t="inlineStr">
        <s:is>
          <s:t>RG-10</s:t>
        </s:is>
      </s:c>
      <s:c r="O115" s="13" t="inlineStr">
        <s:is>
          <s:t>Operational data minimization.</s:t>
        </s:is>
      </s:c>
      <s:c r="P115" s="18" t="inlineStr">
        <s:is>
          <s:t>dashboards/alerts</s:t>
        </s:is>
      </s:c>
      <s:c r="Q115" s="14">
        <s:f>INDEX('01_ROADMAP'!$C$5:$C$15,MATCH(B115,'01_ROADMAP'!$A$5:$A$15,0))</s:f>
        <s:v>46356.0</s:v>
      </s:c>
      <s:c r="R115" s="14">
        <s:f>INDEX('01_ROADMAP'!$D$5:$D$15,MATCH(B115,'01_ROADMAP'!$A$5:$A$15,0))</s:f>
        <s:v>46369.0</s:v>
      </s:c>
      <s:c r="S115" s="29" t="inlineStr">
        <s:is>
          <s:t>docs/backlog-deep-audit-2026-09-07.json#S6-A02</s:t>
        </s:is>
      </s:c>
      <s:c r="T115" s="13" t="inlineStr">
        <s:is>
          <s:t>DEVOPS/OPS</s:t>
        </s:is>
      </s:c>
      <s:c r="U115" s="13" t="inlineStr">
        <s:is>
          <s:t>Operations</s:t>
        </s:is>
      </s:c>
      <s:c r="V115" s="13" t="inlineStr">
        <s:is>
          <s:t>GA</s:t>
        </s:is>
      </s:c>
      <s:c r="W115" s="13" t="inlineStr">
        <s:is>
          <s:t>N/A / API-domain contract consumed by frontend where applicable.</s:t>
        </s:is>
      </s:c>
      <s:c r="X115" s="13" t="inlineStr">
        <s:is>
          <s:t>Acceptance Criteria + Test Evidence + Release Gate</s:t>
        </s:is>
      </s:c>
      <s:c r="Y115" s="57" t="inlineStr">
        <s:is>
          <s:t>Pa filluar</s:t>
        </s:is>
      </s:c>
      <s:c r="Z115" s="55" t="inlineStr">
        <s:is>
          <s:t>Nuk u gjet SLO dashboard/alert drill, runbook operacional i plotë ose load report 3× forecast.</s:t>
        </s:is>
      </s:c>
      <s:c r="AA115" s="55" t="inlineStr">
        <s:is>
          <s:t>1. Instrumento dashboards për 5xx/p95, queue-age/depth, publish errors, OAuth, AI cost/latency dhe DB saturation; vendos thresholds dhe runbook links me cardinality të kufizuar. Provo alert me incident sintetik.</s:t>
        </s:is>
      </s:c>
      <s:c r="AB115" s="55" t="inlineStr">
        <s:is>
          <s:t>Prova e kërkuar nga backlog-u: Staging alert fire/drill
Kriteri për t'u verifikuar (nuk deklarohet i kaluar): Synthetic incident triggers expected alert; metric labels bounded cardinality; no per-org metric labels.
Pranimi kërkon edhe gate-et: RG-10. Asnjë gate nuk është shënuar Passed nga ky audit.</s:t>
        </s:is>
      </s:c>
      <s:c r="AC115" s="55" t="inlineStr">
        <s:is>
          <s:t>U rishikuan kodi/artefaktet dhe u kërkua implementimi i kësaj detyre. Nuk ka provë të ekzekutuar specifike që mbyll të gjithë kriterin; kontrollet globale nuk e zëvendësojnë atë.</s:t>
        </s:is>
      </s:c>
      <s:c r="AD115" s="55" t="inlineStr">
        <s:is>
          <s:t>Nuk u gjet implementim specifik; shiko kriterin dhe hapat në AA/AB.</s:t>
        </s:is>
      </s:c>
      <s:c r="AE115" s="42" t="inlineStr">
        <s:is>
          <s:t>Pa filluar</s:t>
        </s:is>
      </s:c>
      <s:c r="AF115" s="42" t="inlineStr">
        <s:is>
          <s:t>Po</s:t>
        </s:is>
      </s:c>
      <s:c r="AG115" s="42" t="inlineStr">
        <s:is>
          <s:t>Po, pas implementimit</s:t>
        </s:is>
      </s:c>
      <s:c r="AH115" s="42" t="inlineStr">
        <s:is>
          <s:t>Instrumento dashboards për 5xx/p95, queue-age/depth, publish errors, OAuth, AI cost/latency dhe DB saturation; vendos thresholds dhe runbook links me cardinality të kufizuar. Provo alert me incident sintetik.</s:t>
        </s:is>
      </s:c>
      <s:c r="AI115" s="42" t="inlineStr">
        <s:is>
          <s:t>docs/backlog-code-handoff-2026-09-08.json#S6-A02</s:t>
        </s:is>
      </s:c>
      <s:c r="AJ115" s="42" t="inlineStr">
        <s:is>
          <s:t>Programmer A / review: Programmer B</s:t>
        </s:is>
      </s:c>
    </s:row>
    <s:row r="116" ht="155.1" customHeight="1" s="48">
      <s:c r="A116" s="17" t="inlineStr">
        <s:is>
          <s:t>S6-A03</s:t>
        </s:is>
      </s:c>
      <s:c r="B116" s="18" t="inlineStr">
        <s:is>
          <s:t>S6</s:t>
        </s:is>
      </s:c>
      <s:c r="C116" s="18" t="inlineStr">
        <s:is>
          <s:t>Operations</s:t>
        </s:is>
      </s:c>
      <s:c r="D116" s="12" t="inlineStr">
        <s:is>
          <s:t>Write critical runbooks</s:t>
        </s:is>
      </s:c>
      <s:c r="E116" s="13" t="inlineStr">
        <s:is>
          <s:t>Document provider outage, revoked-token spike, queue backlog, failed deploy, DB issue, AI outage/cost spike and publishing reconciliation procedures.</s:t>
        </s:is>
      </s:c>
      <s:c r="F116" s="13" t="inlineStr">
        <s:is>
          <s:t>Each pager-worthy alert links runbook with detect/contain/verify/escalate steps and owner.</s:t>
        </s:is>
      </s:c>
      <s:c r="G116" s="18" t="inlineStr">
        <s:is>
          <s:t>S6-A02</s:t>
        </s:is>
      </s:c>
      <s:c r="H116" s="18" t="inlineStr">
        <s:is>
          <s:t>P0</s:t>
        </s:is>
      </s:c>
      <s:c r="I116" s="18" t="inlineStr">
        <s:is>
          <s:t>Programmer A</s:t>
        </s:is>
      </s:c>
      <s:c r="J116" s="18" t="inlineStr">
        <s:is>
          <s:t>Programmer B</s:t>
        </s:is>
      </s:c>
      <s:c r="K116" s="18" t="n">
        <s:v>7</s:v>
      </s:c>
      <s:c r="L116" s="30" t="inlineStr">
        <s:is>
          <s:t>Not Started</s:t>
        </s:is>
      </s:c>
      <s:c r="M116" s="13" t="inlineStr">
        <s:is>
          <s:t>Tabletop walkthrough</s:t>
        </s:is>
      </s:c>
      <s:c r="N116" s="18" t="inlineStr">
        <s:is>
          <s:t>RG-10</s:t>
        </s:is>
      </s:c>
      <s:c r="O116" s="13" t="inlineStr">
        <s:is>
          <s:t>Break-glass steps audited.</s:t>
        </s:is>
      </s:c>
      <s:c r="P116" s="18" t="inlineStr">
        <s:is>
          <s:t>docs/runbooks</s:t>
        </s:is>
      </s:c>
      <s:c r="Q116" s="14">
        <s:f>INDEX('01_ROADMAP'!$C$5:$C$15,MATCH(B116,'01_ROADMAP'!$A$5:$A$15,0))</s:f>
        <s:v>46356.0</s:v>
      </s:c>
      <s:c r="R116" s="14">
        <s:f>INDEX('01_ROADMAP'!$D$5:$D$15,MATCH(B116,'01_ROADMAP'!$A$5:$A$15,0))</s:f>
        <s:v>46369.0</s:v>
      </s:c>
      <s:c r="S116" s="29" t="inlineStr">
        <s:is>
          <s:t>docs/backlog-deep-audit-2026-09-07.json#S6-A03</s:t>
        </s:is>
      </s:c>
      <s:c r="T116" s="13" t="inlineStr">
        <s:is>
          <s:t>DEVOPS/OPS</s:t>
        </s:is>
      </s:c>
      <s:c r="U116" s="13" t="inlineStr">
        <s:is>
          <s:t>Platform</s:t>
        </s:is>
      </s:c>
      <s:c r="V116" s="13" t="inlineStr">
        <s:is>
          <s:t>GA</s:t>
        </s:is>
      </s:c>
      <s:c r="W116" s="13" t="inlineStr">
        <s:is>
          <s:t>N/A / API-domain contract consumed by frontend where applicable.</s:t>
        </s:is>
      </s:c>
      <s:c r="X116" s="13" t="inlineStr">
        <s:is>
          <s:t>Acceptance Criteria + Test Evidence + Release Gate</s:t>
        </s:is>
      </s:c>
      <s:c r="Y116" s="57" t="inlineStr">
        <s:is>
          <s:t>Pa filluar</s:t>
        </s:is>
      </s:c>
      <s:c r="Z116" s="56" t="inlineStr">
        <s:is>
          <s:t>Nuk u gjet SLO dashboard/alert drill, runbook operacional i plotë ose load report 3× forecast.</s:t>
        </s:is>
      </s:c>
      <s:c r="AA116" s="56" t="inlineStr">
        <s:is>
          <s:t>1. Shkruaj runbooks të veçanta për provider outage, revoke spike, queue backlog, deploy/DB/AI outage, cost spike dhe uncertain reconciliation; secili me detect/contain/verify/escalate dhe owner, pastaj tabletop.</s:t>
        </s:is>
      </s:c>
      <s:c r="AB116" s="56" t="inlineStr">
        <s:is>
          <s:t>Prova e kërkuar nga backlog-u: Tabletop walkthrough
Kriteri për t'u verifikuar (nuk deklarohet i kaluar): Each pager-worthy alert links runbook with detect/contain/verify/escalate steps and owner.
Pranimi kërkon edhe gate-et: RG-10. Asnjë gate nuk është shënuar Passed nga ky audit.</s:t>
        </s:is>
      </s:c>
      <s:c r="AC116" s="56" t="inlineStr">
        <s:is>
          <s:t>U rishikuan kodi/artefaktet dhe u kërkua implementimi i kësaj detyre. Nuk ka provë të ekzekutuar specifike që mbyll të gjithë kriterin; kontrollet globale nuk e zëvendësojnë atë.</s:t>
        </s:is>
      </s:c>
      <s:c r="AD116" s="56" t="inlineStr">
        <s:is>
          <s:t>Nuk u gjet implementim specifik; shiko kriterin dhe hapat në AA/AB.</s:t>
        </s:is>
      </s:c>
      <s:c r="AE116" s="42" t="inlineStr">
        <s:is>
          <s:t>Pa filluar</s:t>
        </s:is>
      </s:c>
      <s:c r="AF116" s="42" t="inlineStr">
        <s:is>
          <s:t>Po</s:t>
        </s:is>
      </s:c>
      <s:c r="AG116" s="42" t="inlineStr">
        <s:is>
          <s:t>Po, pas implementimit</s:t>
        </s:is>
      </s:c>
      <s:c r="AH116" s="42" t="inlineStr">
        <s:is>
          <s:t>Shkruaj runbooks të veçanta për provider outage, revoke spike, queue backlog, deploy/DB/AI outage, cost spike dhe uncertain reconciliation; secili me detect/contain/verify/escalate dhe owner, pastaj tabletop.</s:t>
        </s:is>
      </s:c>
      <s:c r="AI116" s="42" t="inlineStr">
        <s:is>
          <s:t>docs/backlog-code-handoff-2026-09-08.json#S6-A03</s:t>
        </s:is>
      </s:c>
      <s:c r="AJ116" s="42" t="inlineStr">
        <s:is>
          <s:t>Programmer A / review: Programmer B</s:t>
        </s:is>
      </s:c>
    </s:row>
    <s:row r="117" ht="159" customHeight="1" s="48">
      <s:c r="A117" s="17" t="inlineStr">
        <s:is>
          <s:t>S6-A04</s:t>
        </s:is>
      </s:c>
      <s:c r="B117" s="18" t="inlineStr">
        <s:is>
          <s:t>S6</s:t>
        </s:is>
      </s:c>
      <s:c r="C117" s="18" t="inlineStr">
        <s:is>
          <s:t>Privacy</s:t>
        </s:is>
      </s:c>
      <s:c r="D117" s="12" t="inlineStr">
        <s:is>
          <s:t>Implement organization data export</s:t>
        </s:is>
      </s:c>
      <s:c r="E117" s="13" t="inlineStr">
        <s:is>
          <s:t>Create durable export request/job collecting defined tenant data, manifest/checksums and expiring signed artifact; role/recent-auth protected.</s:t>
        </s:is>
      </s:c>
      <s:c r="F117" s="13" t="inlineStr">
        <s:is>
          <s:t>Owner can request once idempotently, track status and download before expiry; Org B cannot access artifact.</s:t>
        </s:is>
      </s:c>
      <s:c r="G117" s="18" t="inlineStr">
        <s:is>
          <s:t>S0-A08,S1-A03</s:t>
        </s:is>
      </s:c>
      <s:c r="H117" s="18" t="inlineStr">
        <s:is>
          <s:t>P0</s:t>
        </s:is>
      </s:c>
      <s:c r="I117" s="18" t="inlineStr">
        <s:is>
          <s:t>Programmer A</s:t>
        </s:is>
      </s:c>
      <s:c r="J117" s="18" t="inlineStr">
        <s:is>
          <s:t>Programmer B</s:t>
        </s:is>
      </s:c>
      <s:c r="K117" s="18" t="n">
        <s:v>8</s:v>
      </s:c>
      <s:c r="L117" s="28" t="inlineStr">
        <s:is>
          <s:t>In Progress</s:t>
        </s:is>
      </s:c>
      <s:c r="M117" s="13" t="inlineStr">
        <s:is>
          <s:t>Privacy export E2E/security tests</s:t>
        </s:is>
      </s:c>
      <s:c r="N117" s="18" t="inlineStr">
        <s:is>
          <s:t>RG-09</s:t>
        </s:is>
      </s:c>
      <s:c r="O117" s="13" t="inlineStr">
        <s:is>
          <s:t>Export artifact short-lived/private.</s:t>
        </s:is>
      </s:c>
      <s:c r="P117" s="18" t="inlineStr">
        <s:is>
          <s:t>privacy export workflow</s:t>
        </s:is>
      </s:c>
      <s:c r="Q117" s="14">
        <s:f>INDEX('01_ROADMAP'!$C$5:$C$15,MATCH(B117,'01_ROADMAP'!$A$5:$A$15,0))</s:f>
        <s:v>46356.0</s:v>
      </s:c>
      <s:c r="R117" s="14">
        <s:f>INDEX('01_ROADMAP'!$D$5:$D$15,MATCH(B117,'01_ROADMAP'!$A$5:$A$15,0))</s:f>
        <s:v>46369.0</s:v>
      </s:c>
      <s:c r="S117" s="29" t="inlineStr">
        <s:is>
          <s:t>docs/backlog-deep-audit-2026-09-07.json#S6-A04</s:t>
        </s:is>
      </s:c>
      <s:c r="T117" s="13" t="inlineStr">
        <s:is>
          <s:t>SECURITY</s:t>
        </s:is>
      </s:c>
      <s:c r="U117" s="13" t="inlineStr">
        <s:is>
          <s:t>Organization</s:t>
        </s:is>
      </s:c>
      <s:c r="V117" s="13" t="inlineStr">
        <s:is>
          <s:t>GA</s:t>
        </s:is>
      </s:c>
      <s:c r="W117" s="13" t="inlineStr">
        <s:is>
          <s:t>N/A / API-domain contract consumed by frontend where applicable.</s:t>
        </s:is>
      </s:c>
      <s:c r="X117" s="13" t="inlineStr">
        <s:is>
          <s:t>Acceptance Criteria + Test Evidence + Release Gate</s:t>
        </s:is>
      </s:c>
      <s:c r="Y117" s="54" t="inlineStr">
        <s:is>
          <s:t>Pjesërisht</s:t>
        </s:is>
      </s:c>
      <s:c r="Z117" s="55" t="inlineStr">
        <s:is>
          <s:t>Eksport JSON nga workspace i përdoruesit dhe draftet lokale ekziston.</s:t>
        </s:is>
      </s:c>
      <s:c r="AA117" s="55" t="inlineStr">
        <s:is>
          <s:t>1. Mungon server export job/manifest/checksums/signed expiring artifact, recent-auth dhe provë access/expiry. JSON client-side nuk përfshin lifecycle të plotë export.
2. DA-10: Përcakto kontratën e eksportit; krijo server job me manifest dhe media të autorizuara, expiry/recent-auth dhe përfshirje të dokumentuar të të dhënave.</s:t>
        </s:is>
      </s:c>
      <s:c r="AB117" s="55" t="inlineStr">
        <s:is>
          <s:t>Prova e kërkuar nga backlog-u: Privacy export E2E/security tests
Kriteri për t'u verifikuar (nuk deklarohet i kaluar): Owner can request once idempotently, track status and download before expiry; Org B cannot access artifact.
DA-10: Eksport me fotografi/import/history; kontrollo manifest/checksum dhe qasjen/expiry nga llogari tjetër. Mos e paraqit JSON-in aktual si backup të plotë.
Pranimi kërkon edhe gate-et: RG-09. Asnjë gate nuk është shënuar Passed nga ky audit.</s:t>
        </s:is>
      </s:c>
      <s:c r="AC117" s="55" t="inlineStr">
        <s:is>
          <s:t>U rishikuan kodi/artefaktet dhe u kërkua implementimi i kësaj detyre. Nuk ka provë të ekzekutuar specifike që mbyll të gjithë kriterin; kontrollet globale nuk e zëvendësojnë atë.</s:t>
        </s:is>
      </s:c>
      <s:c r="AD117" s="55" t="inlineStr">
        <s:is>
          <s:t>apps/web/app/composables/useWorkspace.ts
apps/web/app/pages/app/[org]/[brand]/settings.vue
apps/web/app/composables/useWorkspace.ts:124
apps/web/server/api/media/[id].get.ts
DA-10: Eksporti përmban workspace dhe drafts të skedës; fotografitë referohen me URL private dhe nuk futen si bytes. Importet sociale/audit/identity dhe manifest/checksums nuk janë pjesë e këtij eksporti.</s:t>
        </s:is>
      </s:c>
      <s:c r="AE117" s="42" t="inlineStr">
        <s:is>
          <s:t>Pjesërisht — kërkon zhvillim</s:t>
        </s:is>
      </s:c>
      <s:c r="AF117" s="42" t="inlineStr">
        <s:is>
          <s:t>Po</s:t>
        </s:is>
      </s:c>
      <s:c r="AG117" s="42" t="inlineStr">
        <s:is>
          <s:t>Po, pas implementimit</s:t>
        </s:is>
      </s:c>
      <s:c r="AH117" s="42" t="inlineStr">
        <s:is>
          <s:t>Mungon server export job/manifest/checksums/signed expiring artifact, recent-auth dhe provë access/expiry. JSON client-side nuk përfshin lifecycle të plotë export. 2.</s:t>
        </s:is>
      </s:c>
      <s:c r="AI117" s="42" t="inlineStr">
        <s:is>
          <s:t>docs/backlog-code-handoff-2026-09-08.json#S6-A04</s:t>
        </s:is>
      </s:c>
      <s:c r="AJ117" s="42" t="inlineStr">
        <s:is>
          <s:t>Programmer A / review: Programmer B</s:t>
        </s:is>
      </s:c>
    </s:row>
    <s:row r="118" ht="159" customHeight="1" s="48">
      <s:c r="A118" s="17" t="inlineStr">
        <s:is>
          <s:t>S6-A05</s:t>
        </s:is>
      </s:c>
      <s:c r="B118" s="18" t="inlineStr">
        <s:is>
          <s:t>S6</s:t>
        </s:is>
      </s:c>
      <s:c r="C118" s="18" t="inlineStr">
        <s:is>
          <s:t>Privacy</s:t>
        </s:is>
      </s:c>
      <s:c r="D118" s="12" t="inlineStr">
        <s:is>
          <s:t>Implement dependency-aware organization deletion/purge</s:t>
        </s:is>
      </s:c>
      <s:c r="E118" s="13" t="inlineStr">
        <s:is>
          <s:t>Create confirmation/recent-auth flow backend, resumable purge stages for tokens/social/content/media/derived data with legally-retained exceptions and audit.</s:t>
        </s:is>
      </s:c>
      <s:c r="F118" s="13" t="inlineStr">
        <s:is>
          <s:t>Deletion job resumes after failure; active publish jobs cancelled; credentials destroyed; retained billing/audit exceptions documented.</s:t>
        </s:is>
      </s:c>
      <s:c r="G118" s="18" t="inlineStr">
        <s:is>
          <s:t>S6-A04,S4-A03,S5-A05</s:t>
        </s:is>
      </s:c>
      <s:c r="H118" s="18" t="inlineStr">
        <s:is>
          <s:t>P0</s:t>
        </s:is>
      </s:c>
      <s:c r="I118" s="18" t="inlineStr">
        <s:is>
          <s:t>Programmer A</s:t>
        </s:is>
      </s:c>
      <s:c r="J118" s="18" t="inlineStr">
        <s:is>
          <s:t>Programmer B</s:t>
        </s:is>
      </s:c>
      <s:c r="K118" s="18" t="n">
        <s:v>9</s:v>
      </s:c>
      <s:c r="L118" s="30" t="inlineStr">
        <s:is>
          <s:t>Not Started</s:t>
        </s:is>
      </s:c>
      <s:c r="M118" s="13" t="inlineStr">
        <s:is>
          <s:t>Purge failure/resume + isolation tests</s:t>
        </s:is>
      </s:c>
      <s:c r="N118" s="18" t="inlineStr">
        <s:is>
          <s:t>RG-09</s:t>
        </s:is>
      </s:c>
      <s:c r="O118" s="13" t="inlineStr">
        <s:is>
          <s:t>Irreversible action with explicit safeguards.</s:t>
        </s:is>
      </s:c>
      <s:c r="P118" s="18" t="inlineStr">
        <s:is>
          <s:t>privacy deletion workflow</s:t>
        </s:is>
      </s:c>
      <s:c r="Q118" s="14">
        <s:f>INDEX('01_ROADMAP'!$C$5:$C$15,MATCH(B118,'01_ROADMAP'!$A$5:$A$15,0))</s:f>
        <s:v>46356.0</s:v>
      </s:c>
      <s:c r="R118" s="14">
        <s:f>INDEX('01_ROADMAP'!$D$5:$D$15,MATCH(B118,'01_ROADMAP'!$A$5:$A$15,0))</s:f>
        <s:v>46369.0</s:v>
      </s:c>
      <s:c r="S118" s="29" t="inlineStr">
        <s:is>
          <s:t>docs/backlog-deep-audit-2026-09-07.json#S6-A05</s:t>
        </s:is>
      </s:c>
      <s:c r="T118" s="13" t="inlineStr">
        <s:is>
          <s:t>SECURITY</s:t>
        </s:is>
      </s:c>
      <s:c r="U118" s="13" t="inlineStr">
        <s:is>
          <s:t>Organization</s:t>
        </s:is>
      </s:c>
      <s:c r="V118" s="13" t="inlineStr">
        <s:is>
          <s:t>GA</s:t>
        </s:is>
      </s:c>
      <s:c r="W118" s="13" t="inlineStr">
        <s:is>
          <s:t>N/A / API-domain contract consumed by frontend where applicable.</s:t>
        </s:is>
      </s:c>
      <s:c r="X118" s="13" t="inlineStr">
        <s:is>
          <s:t>Acceptance Criteria + Test Evidence + Release Gate</s:t>
        </s:is>
      </s:c>
      <s:c r="Y118" s="57" t="inlineStr">
        <s:is>
          <s:t>Pa filluar</s:t>
        </s:is>
      </s:c>
      <s:c r="Z118" s="56" t="inlineStr">
        <s:is>
          <s:t>Nuk ka organization deletion/purge API/job.</s:t>
        </s:is>
      </s:c>
      <s:c r="AA118" s="56" t="inlineStr">
        <s:is>
          <s:t>1. Duhet konfirmim/recent-auth, cancellation, token destruction, purge resume dhe retention exceptions me teste.
2. DA-11: Përcakto retention/consent policy, zbato afatet me jobs dhe rrugën e tërheqjes së të drejtave që ndalon përdorimin e ardhshëm pa falsifikuar historikun.</s:t>
        </s:is>
      </s:c>
      <s:c r="AB118" s="56" t="inlineStr">
        <s:is>
          <s:t>Prova e kërkuar nga backlog-u: Purge failure/resume + isolation tests
Kriteri për t'u verifikuar (nuk deklarohet i kaluar): Deletion job resumes after failure; active publish jobs cancelled; credentials destroyed; retained billing/audit exceptions documented.
DA-11: Revoko të drejtat e asset-it në postim të planifikuar, verifiko bllokimin e publikimit; provo purge/resume dhe përjashtimet e dokumentuara të ruajtjes.
Pranimi kërkon edhe gate-et: RG-09. Asnjë gate nuk është shënuar Passed nga ky audit.</s:t>
        </s:is>
      </s:c>
      <s:c r="AC118" s="56" t="inlineStr">
        <s:is>
          <s:t>U rishikuan kodi/artefaktet dhe u kërkua implementimi i kësaj detyre. Nuk ka provë të ekzekutuar specifike që mbyll të gjithë kriterin; kontrollet globale nuk e zëvendësojnë atë.</s:t>
        </s:is>
      </s:c>
      <s:c r="AD118" s="56" t="inlineStr">
        <s:is>
          <s:t>apps/web/server/utils/trials.ts:30
apps/web/database/migrations/0004_trials_and_social.sql
apps/web/server/api/workspaces/[id].put.ts
apps/web/app/pages/app/[org]/[brand]/gallery.vue:298
DA-11: Cookie ka afat fiks 365 ditë; mungon purge për trial claims dhe të dhëna të tjera. Asset-et në përdorim nuk mund të hiqen dhe një rights=false refuzohet për referenca ekzistuese; UI e galerisë nuk ofron tërheqje të drejtash.</s:t>
        </s:is>
      </s:c>
      <s:c r="AE118" s="42" t="inlineStr">
        <s:is>
          <s:t>Pa filluar</s:t>
        </s:is>
      </s:c>
      <s:c r="AF118" s="42" t="inlineStr">
        <s:is>
          <s:t>Po</s:t>
        </s:is>
      </s:c>
      <s:c r="AG118" s="42" t="inlineStr">
        <s:is>
          <s:t>Po, pas implementimit</s:t>
        </s:is>
      </s:c>
      <s:c r="AH118" s="42" t="inlineStr">
        <s:is>
          <s:t>Duhet konfirmim/recent-auth, cancellation, token destruction, purge resume dhe retention exceptions me teste. 2.</s:t>
        </s:is>
      </s:c>
      <s:c r="AI118" s="42" t="inlineStr">
        <s:is>
          <s:t>docs/backlog-code-handoff-2026-09-08.json#S6-A05</s:t>
        </s:is>
      </s:c>
      <s:c r="AJ118" s="42" t="inlineStr">
        <s:is>
          <s:t>Programmer A / review: Programmer B</s:t>
        </s:is>
      </s:c>
    </s:row>
    <s:row r="119" ht="155.1" customHeight="1" s="48">
      <s:c r="A119" s="17" t="inlineStr">
        <s:is>
          <s:t>S8-A01</s:t>
        </s:is>
      </s:c>
      <s:c r="B119" s="18" t="inlineStr">
        <s:is>
          <s:t>S8</s:t>
        </s:is>
      </s:c>
      <s:c r="C119" s="18" t="inlineStr">
        <s:is>
          <s:t>Disaster Recovery</s:t>
        </s:is>
      </s:c>
      <s:c r="D119" s="12" t="inlineStr">
        <s:is>
          <s:t>Verify backup/PITR and execute restore exercise</s:t>
        </s:is>
      </s:c>
      <s:c r="E119" s="13" t="inlineStr">
        <s:is>
          <s:t>Confirm production backup/PITR configuration/tier, document RPO/RTO assumptions and restore a staging copy/sample; verify migrations and critical checks.</s:t>
        </s:is>
      </s:c>
      <s:c r="F119" s="13" t="inlineStr">
        <s:is>
          <s:t>Restore exercise evidence recorded; target RPO&lt;=5m when PITR enabled and app RTO objective&lt;=60m documented with dependencies.</s:t>
        </s:is>
      </s:c>
      <s:c r="G119" s="18" t="inlineStr">
        <s:is>
          <s:t>S0-A04,S6-A03</s:t>
        </s:is>
      </s:c>
      <s:c r="H119" s="18" t="inlineStr">
        <s:is>
          <s:t>P0</s:t>
        </s:is>
      </s:c>
      <s:c r="I119" s="18" t="inlineStr">
        <s:is>
          <s:t>Programmer A</s:t>
        </s:is>
      </s:c>
      <s:c r="J119" s="18" t="inlineStr">
        <s:is>
          <s:t>Programmer B</s:t>
        </s:is>
      </s:c>
      <s:c r="K119" s="18" t="n">
        <s:v>8</s:v>
      </s:c>
      <s:c r="L119" s="30" t="inlineStr">
        <s:is>
          <s:t>Not Started</s:t>
        </s:is>
      </s:c>
      <s:c r="M119" s="13" t="inlineStr">
        <s:is>
          <s:t>Documented restore drill</s:t>
        </s:is>
      </s:c>
      <s:c r="N119" s="18" t="inlineStr">
        <s:is>
          <s:t>RG-13</s:t>
        </s:is>
      </s:c>
      <s:c r="O119" s="13" t="inlineStr">
        <s:is>
          <s:t>Restore environment access restricted.</s:t>
        </s:is>
      </s:c>
      <s:c r="P119" s="18" t="inlineStr">
        <s:is>
          <s:t>DR report/runbook</s:t>
        </s:is>
      </s:c>
      <s:c r="Q119" s="14">
        <s:f>INDEX('01_ROADMAP'!$C$5:$C$15,MATCH(B119,'01_ROADMAP'!$A$5:$A$15,0))</s:f>
        <s:v>46384.0</s:v>
      </s:c>
      <s:c r="R119" s="14">
        <s:f>INDEX('01_ROADMAP'!$D$5:$D$15,MATCH(B119,'01_ROADMAP'!$A$5:$A$15,0))</s:f>
        <s:v>46397.0</s:v>
      </s:c>
      <s:c r="S119" s="29" t="inlineStr">
        <s:is>
          <s:t>docs/backlog-deep-audit-2026-09-07.json#S8-A01</s:t>
        </s:is>
      </s:c>
      <s:c r="T119" s="13" t="inlineStr">
        <s:is>
          <s:t>DEVOPS/OPS</s:t>
        </s:is>
      </s:c>
      <s:c r="U119" s="13" t="inlineStr">
        <s:is>
          <s:t>Platform</s:t>
        </s:is>
      </s:c>
      <s:c r="V119" s="13" t="inlineStr">
        <s:is>
          <s:t>GA</s:t>
        </s:is>
      </s:c>
      <s:c r="W119" s="13" t="inlineStr">
        <s:is>
          <s:t>N/A / API-domain contract consumed by frontend where applicable.</s:t>
        </s:is>
      </s:c>
      <s:c r="X119" s="13" t="inlineStr">
        <s:is>
          <s:t>Acceptance Criteria + Test Evidence + Release Gate</s:t>
        </s:is>
      </s:c>
      <s:c r="Y119" s="57" t="inlineStr">
        <s:is>
          <s:t>Pa filluar</s:t>
        </s:is>
      </s:c>
      <s:c r="Z119" s="55" t="inlineStr">
        <s:is>
          <s:t>PostgreSQL lokal ka volum Docker dhe migrime.</s:t>
        </s:is>
      </s:c>
      <s:c r="AA119" s="55" t="inlineStr">
        <s:is>
          <s:t>1. Mungojnë backup/PITR production configuration, restore drill dhe matje RPO/RTO; volum Docker nuk është backup.</s:t>
        </s:is>
      </s:c>
      <s:c r="AB119" s="55" t="inlineStr">
        <s:is>
          <s:t>Prova e kërkuar nga backlog-u: Documented restore drill
Kriteri për t'u verifikuar (nuk deklarohet i kaluar): Restore exercise evidence recorded; target RPO&lt;=5m when PITR enabled and app RTO objective&lt;=60m documented with dependencies.
Pranimi kërkon edhe gate-et: RG-13. Asnjë gate nuk është shënuar Passed nga ky audit.</s:t>
        </s:is>
      </s:c>
      <s:c r="AC119" s="55" t="inlineStr">
        <s:is>
          <s:t>U rishikuan kodi/artefaktet dhe u kërkua implementimi i kësaj detyre. Nuk ka provë të ekzekutuar specifike që mbyll të gjithë kriterin; kontrollet globale nuk e zëvendësojnë atë.</s:t>
        </s:is>
      </s:c>
      <s:c r="AD119" s="55" t="inlineStr">
        <s:is>
          <s:t>compose.yaml</s:t>
        </s:is>
      </s:c>
      <s:c r="AE119" s="42" t="inlineStr">
        <s:is>
          <s:t>Pa filluar</s:t>
        </s:is>
      </s:c>
      <s:c r="AF119" s="42" t="inlineStr">
        <s:is>
          <s:t>Po</s:t>
        </s:is>
      </s:c>
      <s:c r="AG119" s="42" t="inlineStr">
        <s:is>
          <s:t>Po, pas implementimit</s:t>
        </s:is>
      </s:c>
      <s:c r="AH119" s="42" t="inlineStr">
        <s:is>
          <s:t>Mungojnë backup/PITR production configuration, restore drill dhe matje RPO/RTO; volum Docker nuk është backup.</s:t>
        </s:is>
      </s:c>
      <s:c r="AI119" s="42" t="inlineStr">
        <s:is>
          <s:t>docs/backlog-code-handoff-2026-09-08.json#S8-A01</s:t>
        </s:is>
      </s:c>
      <s:c r="AJ119" s="42" t="inlineStr">
        <s:is>
          <s:t>Programmer A / review: Programmer B</s:t>
        </s:is>
      </s:c>
    </s:row>
    <s:row r="120" ht="159" customHeight="1" s="48">
      <s:c r="A120" s="17" t="inlineStr">
        <s:is>
          <s:t>S6-A07</s:t>
        </s:is>
      </s:c>
      <s:c r="B120" s="18" t="inlineStr">
        <s:is>
          <s:t>S6</s:t>
        </s:is>
      </s:c>
      <s:c r="C120" s="18" t="inlineStr">
        <s:is>
          <s:t>Performance</s:t>
        </s:is>
      </s:c>
      <s:c r="D120" s="12" t="inlineStr">
        <s:is>
          <s:t>Run final burst/load/resilience test at 3x launch forecast</s:t>
        </s:is>
      </s:c>
      <s:c r="E120" s="13" t="inlineStr">
        <s:is>
          <s:t>Model morning/evening scheduled bursts, concurrent generation and gallery/API traffic; tune worker concurrency/pooling.</s:t>
        </s:is>
      </s:c>
      <s:c r="F120" s="13" t="inlineStr">
        <s:is>
          <s:t>Meets initial p95/queue/scheduler targets at &gt;=3x forecast or documented blocker fixed before launch.</s:t>
        </s:is>
      </s:c>
      <s:c r="G120" s="18" t="inlineStr">
        <s:is>
          <s:t>S5-A09,S6-A01</s:t>
        </s:is>
      </s:c>
      <s:c r="H120" s="18" t="inlineStr">
        <s:is>
          <s:t>P0</s:t>
        </s:is>
      </s:c>
      <s:c r="I120" s="18" t="inlineStr">
        <s:is>
          <s:t>Programmer A</s:t>
        </s:is>
      </s:c>
      <s:c r="J120" s="18" t="inlineStr">
        <s:is>
          <s:t>Programmer B</s:t>
        </s:is>
      </s:c>
      <s:c r="K120" s="18" t="n">
        <s:v>8</s:v>
      </s:c>
      <s:c r="L120" s="30" t="inlineStr">
        <s:is>
          <s:t>Not Started</s:t>
        </s:is>
      </s:c>
      <s:c r="M120" s="13" t="inlineStr">
        <s:is>
          <s:t>Load report with charts/query evidence</s:t>
        </s:is>
      </s:c>
      <s:c r="N120" s="18" t="inlineStr">
        <s:is>
          <s:t>RG-11</s:t>
        </s:is>
      </s:c>
      <s:c r="O120" s="13" t="inlineStr">
        <s:is>
          <s:t>Synthetic data and capped provider mocks.</s:t>
        </s:is>
      </s:c>
      <s:c r="P120" s="18" t="inlineStr">
        <s:is>
          <s:t>final load report</s:t>
        </s:is>
      </s:c>
      <s:c r="Q120" s="14">
        <s:f>INDEX('01_ROADMAP'!$C$5:$C$15,MATCH(B120,'01_ROADMAP'!$A$5:$A$15,0))</s:f>
        <s:v>46356.0</s:v>
      </s:c>
      <s:c r="R120" s="14">
        <s:f>INDEX('01_ROADMAP'!$D$5:$D$15,MATCH(B120,'01_ROADMAP'!$A$5:$A$15,0))</s:f>
        <s:v>46369.0</s:v>
      </s:c>
      <s:c r="S120" s="29" t="inlineStr">
        <s:is>
          <s:t>docs/backlog-deep-audit-2026-09-07.json#S6-A07</s:t>
        </s:is>
      </s:c>
      <s:c r="T120" s="13" t="inlineStr">
        <s:is>
          <s:t>DEVOPS/OPS</s:t>
        </s:is>
      </s:c>
      <s:c r="U120" s="13" t="inlineStr">
        <s:is>
          <s:t>Platform</s:t>
        </s:is>
      </s:c>
      <s:c r="V120" s="13" t="inlineStr">
        <s:is>
          <s:t>GA</s:t>
        </s:is>
      </s:c>
      <s:c r="W120" s="13" t="inlineStr">
        <s:is>
          <s:t>N/A / API-domain contract consumed by frontend where applicable.</s:t>
        </s:is>
      </s:c>
      <s:c r="X120" s="13" t="inlineStr">
        <s:is>
          <s:t>Acceptance Criteria + Test Evidence + Release Gate</s:t>
        </s:is>
      </s:c>
      <s:c r="Y120" s="57" t="inlineStr">
        <s:is>
          <s:t>Pa filluar</s:t>
        </s:is>
      </s:c>
      <s:c r="Z120" s="56" t="inlineStr">
        <s:is>
          <s:t>Nuk u gjet SLO dashboard/alert drill, runbook operacional i plotë ose load report 3× forecast.</s:t>
        </s:is>
      </s:c>
      <s:c r="AA120" s="56" t="inlineStr">
        <s:is>
          <s:t>1. Përcakto forecast të lançimit dhe ekzekuto &gt;=3× burst mëngjes/mbrëmje me generation/upload/API; mat p95 dhe vonesën e publikimit, rregullo concurrency/pool bazuar në raport.
2. DA-02: Përpuno batch të kufizuar me concurrency të kontrolluar, renditje të drejtë të punëve të vonuara dhe metrika queue-age.</s:t>
        </s:is>
      </s:c>
      <s:c r="AB120" s="56" t="inlineStr">
        <s:is>
          <s:t>Prova e kërkuar nga backlog-u: Load report with charts/query evidence
Kriteri për t'u verifikuar (nuk deklarohet i kaluar): Meets initial p95/queue/scheduler targets at &gt;=3x forecast or documented blocker fixed before launch.
DA-02: Burst nga disa biznese në të njëjtin orar, dy worker-a, pa dyfishime ose uri të një biznesi; mat vonesën ndaj objektivit të planifikuar.
Pranimi kërkon edhe gate-et: RG-11. Asnjë gate nuk është shënuar Passed nga ky audit.</s:t>
        </s:is>
      </s:c>
      <s:c r="AC120" s="56" t="inlineStr">
        <s:is>
          <s:t>U rishikuan kodi/artefaktet dhe u kërkua implementimi i kësaj detyre. Nuk ka provë të ekzekutuar specifike që mbyll të gjithë kriterin; kontrollet globale nuk e zëvendësojnë atë.</s:t>
        </s:is>
      </s:c>
      <s:c r="AD120" s="56" t="inlineStr">
        <s:is>
          <s:t>apps/web/server/plugins/publisher.ts:15
apps/web/server/utils/publishing.ts:160
DA-02: Çdo tick merr një biznes sipas ID-së dhe një punë. Intervali vendos rreth dy marrje pune/minutë për proces para vonesave të provider-it; nuk ka batch/concurrency të konfigurueshme ose drejtësi sipas orarit global.</s:t>
        </s:is>
      </s:c>
      <s:c r="AE120" s="42" t="inlineStr">
        <s:is>
          <s:t>Pa filluar</s:t>
        </s:is>
      </s:c>
      <s:c r="AF120" s="42" t="inlineStr">
        <s:is>
          <s:t>Po</s:t>
        </s:is>
      </s:c>
      <s:c r="AG120" s="42" t="inlineStr">
        <s:is>
          <s:t>Po, pas implementimit</s:t>
        </s:is>
      </s:c>
      <s:c r="AH120" s="42" t="inlineStr">
        <s:is>
          <s:t>Përcakto forecast të lançimit dhe ekzekuto &gt;=3× burst mëngjes/mbrëmje me generation/upload/API; mat p95 dhe vonesën e publikimit, rregullo concurrency/pool bazuar në raport. 2.</s:t>
        </s:is>
      </s:c>
      <s:c r="AI120" s="42" t="inlineStr">
        <s:is>
          <s:t>docs/backlog-code-handoff-2026-09-08.json#S6-A07</s:t>
        </s:is>
      </s:c>
      <s:c r="AJ120" s="42" t="inlineStr">
        <s:is>
          <s:t>Programmer A / review: Programmer B</s:t>
        </s:is>
      </s:c>
    </s:row>
    <s:row r="121" ht="155.1" customHeight="1" s="48">
      <s:c r="A121" s="17" t="inlineStr">
        <s:is>
          <s:t>S8-A02</s:t>
        </s:is>
      </s:c>
      <s:c r="B121" s="18" t="inlineStr">
        <s:is>
          <s:t>S8</s:t>
        </s:is>
      </s:c>
      <s:c r="C121" s="18" t="inlineStr">
        <s:is>
          <s:t>Security</s:t>
        </s:is>
      </s:c>
      <s:c r="D121" s="12" t="inlineStr">
        <s:is>
          <s:t>Complete production security release review</s:t>
        </s:is>
      </s:c>
      <s:c r="E121" s="13" t="inlineStr">
        <s:is>
          <s:t>Re-run ASVS evidence, dependency/container/secret scans, tenant matrix, webhook/upload/authz cases and review prod headers/CORS/secrets.</s:t>
        </s:is>
      </s:c>
      <s:c r="F121" s="13" t="inlineStr">
        <s:is>
          <s:t>Zero unresolved exploitable critical/high; exceptions have risk owner/date; prod config evidence attached.</s:t>
        </s:is>
      </s:c>
      <s:c r="G121" s="18" t="inlineStr">
        <s:is>
          <s:t>S5-A08,S6-A01</s:t>
        </s:is>
      </s:c>
      <s:c r="H121" s="18" t="inlineStr">
        <s:is>
          <s:t>P0</s:t>
        </s:is>
      </s:c>
      <s:c r="I121" s="18" t="inlineStr">
        <s:is>
          <s:t>Programmer A</s:t>
        </s:is>
      </s:c>
      <s:c r="J121" s="18" t="inlineStr">
        <s:is>
          <s:t>Programmer B</s:t>
        </s:is>
      </s:c>
      <s:c r="K121" s="18" t="n">
        <s:v>9</s:v>
      </s:c>
      <s:c r="L121" s="30" t="inlineStr">
        <s:is>
          <s:t>Not Started</s:t>
        </s:is>
      </s:c>
      <s:c r="M121" s="13" t="inlineStr">
        <s:is>
          <s:t>Security release report</s:t>
        </s:is>
      </s:c>
      <s:c r="N121" s="18" t="inlineStr">
        <s:is>
          <s:t>RG-12</s:t>
        </s:is>
      </s:c>
      <s:c r="O121" s="13" t="inlineStr">
        <s:is>
          <s:t>Launch blocker review.</s:t>
        </s:is>
      </s:c>
      <s:c r="P121" s="18" t="inlineStr">
        <s:is>
          <s:t>security release evidence</s:t>
        </s:is>
      </s:c>
      <s:c r="Q121" s="14">
        <s:f>INDEX('01_ROADMAP'!$C$5:$C$15,MATCH(B121,'01_ROADMAP'!$A$5:$A$15,0))</s:f>
        <s:v>46384.0</s:v>
      </s:c>
      <s:c r="R121" s="14">
        <s:f>INDEX('01_ROADMAP'!$D$5:$D$15,MATCH(B121,'01_ROADMAP'!$A$5:$A$15,0))</s:f>
        <s:v>46397.0</s:v>
      </s:c>
      <s:c r="S121" s="29" t="inlineStr">
        <s:is>
          <s:t>docs/backlog-deep-audit-2026-09-07.json#S8-A02</s:t>
        </s:is>
      </s:c>
      <s:c r="T121" s="13" t="inlineStr">
        <s:is>
          <s:t>SECURITY</s:t>
        </s:is>
      </s:c>
      <s:c r="U121" s="13" t="inlineStr">
        <s:is>
          <s:t>Security</s:t>
        </s:is>
      </s:c>
      <s:c r="V121" s="13" t="inlineStr">
        <s:is>
          <s:t>GA</s:t>
        </s:is>
      </s:c>
      <s:c r="W121" s="13" t="inlineStr">
        <s:is>
          <s:t>N/A / API-domain contract consumed by frontend where applicable.</s:t>
        </s:is>
      </s:c>
      <s:c r="X121" s="13" t="inlineStr">
        <s:is>
          <s:t>Acceptance Criteria + Test Evidence + Release Gate</s:t>
        </s:is>
      </s:c>
      <s:c r="Y121" s="57" t="inlineStr">
        <s:is>
          <s:t>Pa filluar</s:t>
        </s:is>
      </s:c>
      <s:c r="Z121" s="55" t="inlineStr">
        <s:is>
          <s:t>Ka disa kontrolle sigurie dhe teste lokale, por jo raport release.</s:t>
        </s:is>
      </s:c>
      <s:c r="AA121" s="55" t="inlineStr">
        <s:is>
          <s:t>1. Duhet audit i konfigurimit prod, ASVS/tenant/webhook/upload suite, dependency/container/secret scan i freskët dhe triage me owner/expiry.</s:t>
        </s:is>
      </s:c>
      <s:c r="AB121" s="55" t="inlineStr">
        <s:is>
          <s:t>Prova e kërkuar nga backlog-u: Security release report
Kriteri për t'u verifikuar (nuk deklarohet i kaluar): Zero unresolved exploitable critical/high; exceptions have risk owner/date; prod config evidence attached.
Pranimi kërkon edhe gate-et: RG-12. Asnjë gate nuk është shënuar Passed nga ky audit.</s:t>
        </s:is>
      </s:c>
      <s:c r="AC121" s="55" t="inlineStr">
        <s:is>
          <s:t>U rishikuan kodi/artefaktet dhe u kërkua implementimi i kësaj detyre. Nuk ka provë të ekzekutuar specifike që mbyll të gjithë kriterin; kontrollet globale nuk e zëvendësojnë atë.</s:t>
        </s:is>
      </s:c>
      <s:c r="AD121" s="55" t="inlineStr">
        <s:is>
          <s:t>Nuk u gjet implementim specifik; shiko kriterin dhe hapat në AA/AB.</s:t>
        </s:is>
      </s:c>
      <s:c r="AE121" s="42" t="inlineStr">
        <s:is>
          <s:t>Pa filluar</s:t>
        </s:is>
      </s:c>
      <s:c r="AF121" s="42" t="inlineStr">
        <s:is>
          <s:t>Po</s:t>
        </s:is>
      </s:c>
      <s:c r="AG121" s="42" t="inlineStr">
        <s:is>
          <s:t>Po, pas implementimit</s:t>
        </s:is>
      </s:c>
      <s:c r="AH121" s="42" t="inlineStr">
        <s:is>
          <s:t>Duhet audit i konfigurimit prod, ASVS/tenant/webhook/upload suite, dependency/container/secret scan i freskët dhe triage me owner/expiry.</s:t>
        </s:is>
      </s:c>
      <s:c r="AI121" s="42" t="inlineStr">
        <s:is>
          <s:t>docs/backlog-code-handoff-2026-09-08.json#S8-A02</s:t>
        </s:is>
      </s:c>
      <s:c r="AJ121" s="42" t="inlineStr">
        <s:is>
          <s:t>Programmer A / review: Programmer B</s:t>
        </s:is>
      </s:c>
    </s:row>
    <s:row r="122" ht="159" customHeight="1" s="48">
      <s:c r="A122" s="17" t="inlineStr">
        <s:is>
          <s:t>S8-A03</s:t>
        </s:is>
      </s:c>
      <s:c r="B122" s="18" t="inlineStr">
        <s:is>
          <s:t>S8</s:t>
        </s:is>
      </s:c>
      <s:c r="C122" s="18" t="inlineStr">
        <s:is>
          <s:t>Meta Production</s:t>
        </s:is>
      </s:c>
      <s:c r="D122" s="12" t="inlineStr">
        <s:is>
          <s:t>Close production Meta access/readiness gate</s:t>
        </s:is>
      </s:c>
      <s:c r="E122" s="13" t="inlineStr">
        <s:is>
          <s:t>Verify app mode, approved permissions/access, privacy/data-deletion URLs, webhook subscription, production redirect URIs and customer account smoke.</s:t>
        </s:is>
      </s:c>
      <s:c r="F122" s="13" t="inlineStr">
        <s:is>
          <s:t>A non-developer eligible test/business account can connect and capability health matches expected; any external review blocker explicitly blocks RG-04.</s:t>
        </s:is>
      </s:c>
      <s:c r="G122" s="18" t="inlineStr">
        <s:is>
          <s:t>S2-A09,S4-A04</s:t>
        </s:is>
      </s:c>
      <s:c r="H122" s="18" t="inlineStr">
        <s:is>
          <s:t>P0</s:t>
        </s:is>
      </s:c>
      <s:c r="I122" s="18" t="inlineStr">
        <s:is>
          <s:t>Programmer A</s:t>
        </s:is>
      </s:c>
      <s:c r="J122" s="18" t="inlineStr">
        <s:is>
          <s:t>Programmer B</s:t>
        </s:is>
      </s:c>
      <s:c r="K122" s="18" t="n">
        <s:v>5</s:v>
      </s:c>
      <s:c r="L122" s="33" t="inlineStr">
        <s:is>
          <s:t>Blocked</s:t>
        </s:is>
      </s:c>
      <s:c r="M122" s="13" t="inlineStr">
        <s:is>
          <s:t>Manual production-readiness checklist</s:t>
        </s:is>
      </s:c>
      <s:c r="N122" s="18" t="inlineStr">
        <s:is>
          <s:t>RG-04</s:t>
        </s:is>
      </s:c>
      <s:c r="O122" s="13" t="inlineStr">
        <s:is>
          <s:t>Minimum scopes and live callback validation.</s:t>
        </s:is>
      </s:c>
      <s:c r="P122" s="18" t="inlineStr">
        <s:is>
          <s:t>Meta production readiness evidence</s:t>
        </s:is>
      </s:c>
      <s:c r="Q122" s="14">
        <s:f>INDEX('01_ROADMAP'!$C$5:$C$15,MATCH(B122,'01_ROADMAP'!$A$5:$A$15,0))</s:f>
        <s:v>46384.0</s:v>
      </s:c>
      <s:c r="R122" s="14">
        <s:f>INDEX('01_ROADMAP'!$D$5:$D$15,MATCH(B122,'01_ROADMAP'!$A$5:$A$15,0))</s:f>
        <s:v>46397.0</s:v>
      </s:c>
      <s:c r="S122" s="29" t="inlineStr">
        <s:is>
          <s:t>docs/backlog-deep-audit-2026-09-07.json#S8-A03</s:t>
        </s:is>
      </s:c>
      <s:c r="T122" s="13" t="inlineStr">
        <s:is>
          <s:t>META</s:t>
        </s:is>
      </s:c>
      <s:c r="U122" s="13" t="inlineStr">
        <s:is>
          <s:t>Integrations</s:t>
        </s:is>
      </s:c>
      <s:c r="V122" s="13" t="inlineStr">
        <s:is>
          <s:t>GA</s:t>
        </s:is>
      </s:c>
      <s:c r="W122" s="13" t="inlineStr">
        <s:is>
          <s:t>N/A / API-domain contract consumed by frontend where applicable.</s:t>
        </s:is>
      </s:c>
      <s:c r="X122" s="13" t="inlineStr">
        <s:is>
          <s:t>Acceptance Criteria + Test Evidence + Release Gate</s:t>
        </s:is>
      </s:c>
      <s:c r="Y122" s="60" t="inlineStr">
        <s:is>
          <s:t>Bllokuar</s:t>
        </s:is>
      </s:c>
      <s:c r="Z122" s="56" t="inlineStr">
        <s:is>
          <s:t>Ekzistojnë rrugë privacy/terms dhe kod OAuth; kontrolli lokal konfirmon se Meta App credentials mungojnë.</s:t>
        </s:is>
      </s:c>
      <s:c r="AA122" s="56" t="inlineStr">
        <s:is>
          <s:t>1. Duhet Meta App i platformës nga pronari i llogarisë, konfigurim HTTPS/scopes, review/screencast, webhook/deletion callbacks dhe non-developer business smoke. Secili biznes lidhet individualisht më pas.
2. DA-14: Shto provider fixtures që ekzekutojnë worker-in; pastaj provo llogari testuese të autorizuara në staging me target/photo real dhe verifikim të rezultatit.</s:t>
        </s:is>
      </s:c>
      <s:c r="AB122" s="56" t="inlineStr">
        <s:is>
          <s:t>Prova e kërkuar nga backlog-u: Manual production-readiness checklist
Kriteri për t'u verifikuar (nuk deklarohet i kaluar): A non-developer eligible test/business account can connect and capability health matches expected; any external review blocker explicitly blocks RG-04.
DA-14: Facebook dhe Instagram: sukses, 429, 5xx, crash, expired token, cancel, timeout-after-write dhe dy worker-a; arkivo provider IDs pa tokenë.
Pranimi kërkon edhe gate-et: RG-04. Asnjë gate nuk është shënuar Passed nga ky audit.</s:t>
        </s:is>
      </s:c>
      <s:c r="AC122" s="56" t="inlineStr">
        <s:is>
          <s:t>Varësi e jashtme Meta App/access e pazgjidhur. Nuk ka provë live me biznes jo-developer; kod OAuth i pranishëm nuk e mbyll App Review.</s:t>
        </s:is>
      </s:c>
      <s:c r="AD122" s="56" t="inlineStr">
        <s:is>
          <s:t>apps/web/server/utils/meta.ts
apps/web/server/api/capabilities.get.ts
apps/web/app/components/PolicyPage.vue
apps/web/server/utils/publishing.ts
apps/web/tests/integration/server.test.ts
apps/web/tests/e2e/optional-meta.spec.ts
DA-14: Suite provon guards, encryption, scope dhe radhitje, por nuk ekzekuton ciklin e publikimit me fault fixtures të Meta-s. Meta App/HTTPS/worker live nuk janë verifikuar; testet nuk provojnë publikim real exactly-once.</s:t>
        </s:is>
      </s:c>
      <s:c r="AE122" s="42" t="inlineStr">
        <s:is>
          <s:t>Bllokuar nga varësi e jashtme</s:t>
        </s:is>
      </s:c>
      <s:c r="AF122" s="42" t="inlineStr">
        <s:is>
          <s:t>Po, pas zhbllokimit</s:t>
        </s:is>
      </s:c>
      <s:c r="AG122" s="42" t="inlineStr">
        <s:is>
          <s:t>Po — pronari/provider-i</s:t>
        </s:is>
      </s:c>
      <s:c r="AH122" s="42" t="inlineStr">
        <s:is>
          <s:t>Duhet Meta App i platformës nga pronari i llogarisë, konfigurim HTTPS/scopes, review/screencast, webhook/deletion callbacks dhe non-developer business smoke. Secili biznes lidhet individualisht më pas. 2.</s:t>
        </s:is>
      </s:c>
      <s:c r="AI122" s="42" t="inlineStr">
        <s:is>
          <s:t>docs/backlog-code-handoff-2026-09-08.json#S8-A03</s:t>
        </s:is>
      </s:c>
      <s:c r="AJ122" s="42" t="inlineStr">
        <s:is>
          <s:t>Programmer A / review: Programmer B</s:t>
        </s:is>
      </s:c>
    </s:row>
    <s:row r="123" ht="155.1" customHeight="1" s="48">
      <s:c r="A123" s="17" t="inlineStr">
        <s:is>
          <s:t>S8-A04</s:t>
        </s:is>
      </s:c>
      <s:c r="B123" s="18" t="inlineStr">
        <s:is>
          <s:t>S8</s:t>
        </s:is>
      </s:c>
      <s:c r="C123" s="18" t="inlineStr">
        <s:is>
          <s:t>Deployment</s:t>
        </s:is>
      </s:c>
      <s:c r="D123" s="12" t="inlineStr">
        <s:is>
          <s:t>Execute production deployment and progressive rollout</s:t>
        </s:is>
      </s:c>
      <s:c r="E123" s="13" t="inlineStr">
        <s:is>
          <s:t>Provision/validate prod runtime config, run migrations with migration role, deploy immutable artifacts, enable internal org then beta cohort, verify rollback/forward-fix path.</s:t>
        </s:is>
      </s:c>
      <s:c r="F123" s="13" t="inlineStr">
        <s:is>
          <s:t>Same tested artifact digest promoted; smoke/SLO clean; feature flags control exposure; rollback drill performed for app.</s:t>
        </s:is>
      </s:c>
      <s:c r="G123" s="18" t="inlineStr">
        <s:is>
          <s:t>S8-A01,S8-A02,S8-A03</s:t>
        </s:is>
      </s:c>
      <s:c r="H123" s="18" t="inlineStr">
        <s:is>
          <s:t>P0</s:t>
        </s:is>
      </s:c>
      <s:c r="I123" s="18" t="inlineStr">
        <s:is>
          <s:t>Programmer A</s:t>
        </s:is>
      </s:c>
      <s:c r="J123" s="18" t="inlineStr">
        <s:is>
          <s:t>Programmer B</s:t>
        </s:is>
      </s:c>
      <s:c r="K123" s="18" t="n">
        <s:v>8</s:v>
      </s:c>
      <s:c r="L123" s="30" t="inlineStr">
        <s:is>
          <s:t>Not Started</s:t>
        </s:is>
      </s:c>
      <s:c r="M123" s="13" t="inlineStr">
        <s:is>
          <s:t>Deployment checklist + smoke + rollback drill</s:t>
        </s:is>
      </s:c>
      <s:c r="N123" s="18" t="inlineStr">
        <s:is>
          <s:t>RG-01,RG-10,RG-13</s:t>
        </s:is>
      </s:c>
      <s:c r="O123" s="13" t="inlineStr">
        <s:is>
          <s:t>No manual secret copy into code/config.</s:t>
        </s:is>
      </s:c>
      <s:c r="P123" s="18" t="inlineStr">
        <s:is>
          <s:t>production release</s:t>
        </s:is>
      </s:c>
      <s:c r="Q123" s="14">
        <s:f>INDEX('01_ROADMAP'!$C$5:$C$15,MATCH(B123,'01_ROADMAP'!$A$5:$A$15,0))</s:f>
        <s:v>46384.0</s:v>
      </s:c>
      <s:c r="R123" s="14">
        <s:f>INDEX('01_ROADMAP'!$D$5:$D$15,MATCH(B123,'01_ROADMAP'!$A$5:$A$15,0))</s:f>
        <s:v>46397.0</s:v>
      </s:c>
      <s:c r="S123" s="29" t="inlineStr">
        <s:is>
          <s:t>docs/backlog-deep-audit-2026-09-07.json#S8-A04</s:t>
        </s:is>
      </s:c>
      <s:c r="T123" s="13" t="inlineStr">
        <s:is>
          <s:t>DEVOPS/OPS</s:t>
        </s:is>
      </s:c>
      <s:c r="U123" s="13" t="inlineStr">
        <s:is>
          <s:t>Platform</s:t>
        </s:is>
      </s:c>
      <s:c r="V123" s="13" t="inlineStr">
        <s:is>
          <s:t>GA</s:t>
        </s:is>
      </s:c>
      <s:c r="W123" s="13" t="inlineStr">
        <s:is>
          <s:t>N/A / API-domain contract consumed by frontend where applicable.</s:t>
        </s:is>
      </s:c>
      <s:c r="X123" s="13" t="inlineStr">
        <s:is>
          <s:t>Acceptance Criteria + Test Evidence + Release Gate</s:t>
        </s:is>
      </s:c>
      <s:c r="Y123" s="57" t="inlineStr">
        <s:is>
          <s:t>Pa filluar</s:t>
        </s:is>
      </s:c>
      <s:c r="Z123" s="55" t="inlineStr">
        <s:is>
          <s:t>Nuk u gjet deployment/production rollout ose raport smoke prodhimi.</s:t>
        </s:is>
      </s:c>
      <s:c r="AA123" s="55" t="inlineStr">
        <s:is>
          <s:t>1. Duhet immutable artifact promotion, runtime config/roles, prod migrations, cohort rollout, monitoring dhe rollback/smoke evidence. Localhost nuk është prodhim.</s:t>
        </s:is>
      </s:c>
      <s:c r="AB123" s="55" t="inlineStr">
        <s:is>
          <s:t>Prova e kërkuar nga backlog-u: Deployment checklist + smoke + rollback drill
Kriteri për t'u verifikuar (nuk deklarohet i kaluar): Same tested artifact digest promoted; smoke/SLO clean; feature flags control exposure; rollback drill performed for app.
Pranimi kërkon edhe gate-et: RG-01,RG-10,RG-13. Asnjë gate nuk është shënuar Passed nga ky audit.</s:t>
        </s:is>
      </s:c>
      <s:c r="AC123" s="55" t="inlineStr">
        <s:is>
          <s:t>U rishikuan kodi/artefaktet dhe u kërkua implementimi i kësaj detyre. Nuk ka provë të ekzekutuar specifike që mbyll të gjithë kriterin; kontrollet globale nuk e zëvendësojnë atë.</s:t>
        </s:is>
      </s:c>
      <s:c r="AD123" s="55" t="inlineStr">
        <s:is>
          <s:t>Nuk u gjet implementim specifik; shiko kriterin dhe hapat në AA/AB.</s:t>
        </s:is>
      </s:c>
      <s:c r="AE123" s="42" t="inlineStr">
        <s:is>
          <s:t>Pa filluar</s:t>
        </s:is>
      </s:c>
      <s:c r="AF123" s="42" t="inlineStr">
        <s:is>
          <s:t>Po</s:t>
        </s:is>
      </s:c>
      <s:c r="AG123" s="42" t="inlineStr">
        <s:is>
          <s:t>Po, pas implementimit</s:t>
        </s:is>
      </s:c>
      <s:c r="AH123" s="42" t="inlineStr">
        <s:is>
          <s:t>Duhet immutable artifact promotion, runtime config/roles, prod migrations, cohort rollout, monitoring dhe rollback/smoke evidence. Localhost nuk është prodhim.</s:t>
        </s:is>
      </s:c>
      <s:c r="AI123" s="42" t="inlineStr">
        <s:is>
          <s:t>docs/backlog-code-handoff-2026-09-08.json#S8-A04</s:t>
        </s:is>
      </s:c>
      <s:c r="AJ123" s="42" t="inlineStr">
        <s:is>
          <s:t>Programmer A / review: Programmer B</s:t>
        </s:is>
      </s:c>
    </s:row>
    <s:row r="124" ht="155.1" customHeight="1" s="48">
      <s:c r="A124" s="17" t="inlineStr">
        <s:is>
          <s:t>S6-B01</s:t>
        </s:is>
      </s:c>
      <s:c r="B124" s="18" t="inlineStr">
        <s:is>
          <s:t>S6</s:t>
        </s:is>
      </s:c>
      <s:c r="C124" s="18" t="inlineStr">
        <s:is>
          <s:t>Support</s:t>
        </s:is>
      </s:c>
      <s:c r="D124" s="12" t="inlineStr">
        <s:is>
          <s:t>Build minimum support/admin console</s:t>
        </s:is>
      </s:c>
      <s:c r="E124" s="13" t="inlineStr">
        <s:is>
          <s:t>Create internal-only views for org lookup by safe identifiers, connection health, job/publication diagnostics, audit references and resend/retry allowed operations.</s:t>
        </s:is>
      </s:c>
      <s:c r="F124" s="13" t="inlineStr">
        <s:is>
          <s:t>Support cannot view plaintext tokens; all privileged actions audited; tenant content access minimized/read-only by default.</s:t>
        </s:is>
      </s:c>
      <s:c r="G124" s="18" t="inlineStr">
        <s:is>
          <s:t>S6-A01,S1-A08</s:t>
        </s:is>
      </s:c>
      <s:c r="H124" s="18" t="inlineStr">
        <s:is>
          <s:t>P1</s:t>
        </s:is>
      </s:c>
      <s:c r="I124" s="18" t="inlineStr">
        <s:is>
          <s:t>Programmer B</s:t>
        </s:is>
      </s:c>
      <s:c r="J124" s="18" t="inlineStr">
        <s:is>
          <s:t>Programmer A</s:t>
        </s:is>
      </s:c>
      <s:c r="K124" s="18" t="n">
        <s:v>7</s:v>
      </s:c>
      <s:c r="L124" s="30" t="inlineStr">
        <s:is>
          <s:t>Not Started</s:t>
        </s:is>
      </s:c>
      <s:c r="M124" s="13" t="inlineStr">
        <s:is>
          <s:t>Role/audit E2E tests</s:t>
        </s:is>
      </s:c>
      <s:c r="N124" s="18" t="inlineStr">
        <s:is>
          <s:t>RG-10,RG-12</s:t>
        </s:is>
      </s:c>
      <s:c r="O124" s="13" t="inlineStr">
        <s:is>
          <s:t>Separate internal authorization; no silent impersonation.</s:t>
        </s:is>
      </s:c>
      <s:c r="P124" s="18" t="inlineStr">
        <s:is>
          <s:t>support console</s:t>
        </s:is>
      </s:c>
      <s:c r="Q124" s="14">
        <s:f>INDEX('01_ROADMAP'!$C$5:$C$15,MATCH(B124,'01_ROADMAP'!$A$5:$A$15,0))</s:f>
        <s:v>46356.0</s:v>
      </s:c>
      <s:c r="R124" s="14">
        <s:f>INDEX('01_ROADMAP'!$D$5:$D$15,MATCH(B124,'01_ROADMAP'!$A$5:$A$15,0))</s:f>
        <s:v>46369.0</s:v>
      </s:c>
      <s:c r="S124" s="29" t="inlineStr">
        <s:is>
          <s:t>docs/backlog-deep-audit-2026-09-07.json#S6-B01</s:t>
        </s:is>
      </s:c>
      <s:c r="T124" s="13" t="inlineStr">
        <s:is>
          <s:t>BACKEND</s:t>
        </s:is>
      </s:c>
      <s:c r="U124" s="13" t="inlineStr">
        <s:is>
          <s:t>Admin/Support</s:t>
        </s:is>
      </s:c>
      <s:c r="V124" s="13" t="inlineStr">
        <s:is>
          <s:t>GA</s:t>
        </s:is>
      </s:c>
      <s:c r="W124" s="13" t="inlineStr">
        <s:is>
          <s:t>See companion DOCX; use Nuxt UI primitives and shared design system for user-facing tasks.</s:t>
        </s:is>
      </s:c>
      <s:c r="X124" s="13" t="inlineStr">
        <s:is>
          <s:t>Acceptance Criteria + Test Evidence + Release Gate</s:t>
        </s:is>
      </s:c>
      <s:c r="Y124" s="57" t="inlineStr">
        <s:is>
          <s:t>Pa filluar</s:t>
        </s:is>
      </s:c>
      <s:c r="Z124" s="56" t="inlineStr">
        <s:is>
          <s:t>Admin/support console/API nuk gjendet në rrugët aktive.</s:t>
        </s:is>
      </s:c>
      <s:c r="AA124" s="56" t="inlineStr">
        <s:is>
          <s:t>1. Ndërto UI të brendshme për kërkim biznesi me ID të sigurta, connection health, jobs/attempts dhe audit references. Veprimet support kërkojnë leje/arsye/audit; mos ekspozo tokenë.</s:t>
        </s:is>
      </s:c>
      <s:c r="AB124" s="56" t="inlineStr">
        <s:is>
          <s:t>Prova e kërkuar nga backlog-u: Role/audit E2E tests
Kriteri për t'u verifikuar (nuk deklarohet i kaluar): Support cannot view plaintext tokens; all privileged actions audited; tenant content access minimized/read-only by default.
Pranimi kërkon edhe gate-et: RG-10,RG-12. Asnjë gate nuk është shënuar Passed nga ky audit.</s:t>
        </s:is>
      </s:c>
      <s:c r="AC124" s="56" t="inlineStr">
        <s:is>
          <s:t>U rishikuan kodi/artefaktet dhe u kërkua implementimi i kësaj detyre. Nuk ka provë të ekzekutuar specifike që mbyll të gjithë kriterin; kontrollet globale nuk e zëvendësojnë atë.</s:t>
        </s:is>
      </s:c>
      <s:c r="AD124" s="56" t="inlineStr">
        <s:is>
          <s:t>Nuk u gjet implementim specifik; shiko kriterin dhe hapat në AA/AB.</s:t>
        </s:is>
      </s:c>
      <s:c r="AE124" s="42" t="inlineStr">
        <s:is>
          <s:t>Pa filluar</s:t>
        </s:is>
      </s:c>
      <s:c r="AF124" s="42" t="inlineStr">
        <s:is>
          <s:t>Po</s:t>
        </s:is>
      </s:c>
      <s:c r="AG124" s="42" t="inlineStr">
        <s:is>
          <s:t>Po, pas implementimit</s:t>
        </s:is>
      </s:c>
      <s:c r="AH124" s="42" t="inlineStr">
        <s:is>
          <s:t>Ndërto UI të brendshme për kërkim biznesi me ID të sigurta, connection health, jobs/attempts dhe audit references. Veprimet support kërkojnë leje/arsye/audit; mos ekspozo tokenë.</s:t>
        </s:is>
      </s:c>
      <s:c r="AI124" s="42" t="inlineStr">
        <s:is>
          <s:t>docs/backlog-code-handoff-2026-09-08.json#S6-B01</s:t>
        </s:is>
      </s:c>
      <s:c r="AJ124" s="42" t="inlineStr">
        <s:is>
          <s:t>Programmer B / review: Programmer A</s:t>
        </s:is>
      </s:c>
    </s:row>
    <s:row r="125" ht="155.1" customHeight="1" s="48">
      <s:c r="A125" s="17" t="inlineStr">
        <s:is>
          <s:t>S6-B02</s:t>
        </s:is>
      </s:c>
      <s:c r="B125" s="18" t="inlineStr">
        <s:is>
          <s:t>S6</s:t>
        </s:is>
      </s:c>
      <s:c r="C125" s="18" t="inlineStr">
        <s:is>
          <s:t>Operations UX</s:t>
        </s:is>
      </s:c>
      <s:c r="D125" s="12" t="inlineStr">
        <s:is>
          <s:t>Build user-facing system/connection health surfaces</s:t>
        </s:is>
      </s:c>
      <s:c r="E125" s="13" t="inlineStr">
        <s:is>
          <s:t>Polish integration health, current provider issue banner hooks, degraded mode and retry guidance without masking saved work.</s:t>
        </s:is>
      </s:c>
      <s:c r="F125" s="13" t="inlineStr">
        <s:is>
          <s:t>Provider outage leaves content editing available where possible; user sees accurate degraded capability.</s:t>
        </s:is>
      </s:c>
      <s:c r="G125" s="18" t="inlineStr">
        <s:is>
          <s:t>S6-A02,S4-B06</s:t>
        </s:is>
      </s:c>
      <s:c r="H125" s="18" t="inlineStr">
        <s:is>
          <s:t>P1</s:t>
        </s:is>
      </s:c>
      <s:c r="I125" s="18" t="inlineStr">
        <s:is>
          <s:t>Programmer B</s:t>
        </s:is>
      </s:c>
      <s:c r="J125" s="18" t="inlineStr">
        <s:is>
          <s:t>Programmer A</s:t>
        </s:is>
      </s:c>
      <s:c r="K125" s="18" t="n">
        <s:v>6</s:v>
      </s:c>
      <s:c r="L125" s="28" t="inlineStr">
        <s:is>
          <s:t>In Progress</s:t>
        </s:is>
      </s:c>
      <s:c r="M125" s="13" t="inlineStr">
        <s:is>
          <s:t>Degraded-mode E2E fixtures</s:t>
        </s:is>
      </s:c>
      <s:c r="N125" s="18" t="inlineStr">
        <s:is>
          <s:t>RG-10,RG-14</s:t>
        </s:is>
      </s:c>
      <s:c r="O125" s="13" t="inlineStr">
        <s:is>
          <s:t>No internal incident detail leakage.</s:t>
        </s:is>
      </s:c>
      <s:c r="P125" s="18" t="inlineStr">
        <s:is>
          <s:t>health/degraded UX</s:t>
        </s:is>
      </s:c>
      <s:c r="Q125" s="14">
        <s:f>INDEX('01_ROADMAP'!$C$5:$C$15,MATCH(B125,'01_ROADMAP'!$A$5:$A$15,0))</s:f>
        <s:v>46356.0</s:v>
      </s:c>
      <s:c r="R125" s="14">
        <s:f>INDEX('01_ROADMAP'!$D$5:$D$15,MATCH(B125,'01_ROADMAP'!$A$5:$A$15,0))</s:f>
        <s:v>46369.0</s:v>
      </s:c>
      <s:c r="S125" s="29" t="inlineStr">
        <s:is>
          <s:t>docs/backlog-deep-audit-2026-09-07.json#S6-B02</s:t>
        </s:is>
      </s:c>
      <s:c r="T125" s="13" t="inlineStr">
        <s:is>
          <s:t>FRONTEND</s:t>
        </s:is>
      </s:c>
      <s:c r="U125" s="13" t="inlineStr">
        <s:is>
          <s:t>Platform</s:t>
        </s:is>
      </s:c>
      <s:c r="V125" s="13" t="inlineStr">
        <s:is>
          <s:t>GA</s:t>
        </s:is>
      </s:c>
      <s:c r="W125" s="13" t="inlineStr">
        <s:is>
          <s:t>See companion DOCX; use Nuxt UI primitives and shared design system for user-facing tasks.</s:t>
        </s:is>
      </s:c>
      <s:c r="X125" s="13" t="inlineStr">
        <s:is>
          <s:t>Acceptance Criteria + Test Evidence + Release Gate</s:t>
        </s:is>
      </s:c>
      <s:c r="Y125" s="54" t="inlineStr">
        <s:is>
          <s:t>Pjesërisht</s:t>
        </s:is>
      </s:c>
      <s:c r="Z125" s="55" t="inlineStr">
        <s:is>
          <s:t>Gjendje Meta/capabilities/worker dhe UAlert për mungesë konfigurimi; authoring/kalendari manual punojnë pa Meta.</s:t>
        </s:is>
      </s:c>
      <s:c r="AA125" s="55" t="inlineStr">
        <s:is>
          <s:t>1. Mungojnë provider incident feed/typed degraded matrix dhe teste outage/revoked/quota të plota.</s:t>
        </s:is>
      </s:c>
      <s:c r="AB125" s="55" t="inlineStr">
        <s:is>
          <s:t>Prova e kërkuar nga backlog-u: Degraded-mode E2E fixtures
Kriteri për t'u verifikuar (nuk deklarohet i kaluar): Provider outage leaves content editing available where possible; user sees accurate degraded capability.
Pranimi kërkon edhe gate-et: RG-10,RG-14. Asnjë gate nuk është shënuar Passed nga ky audit.</s:t>
        </s:is>
      </s:c>
      <s:c r="AC125" s="55" t="inlineStr">
        <s:is>
          <s:t>U rishikuan kodi/artefaktet dhe u kërkua implementimi i kësaj detyre. Nuk ka provë të ekzekutuar specifike që mbyll të gjithë kriterin; kontrollet globale nuk e zëvendësojnë atë.</s:t>
        </s:is>
      </s:c>
      <s:c r="AD125" s="55" t="inlineStr">
        <s:is>
          <s:t>apps/web/app/components/SocialConnections.vue
apps/web/app/components/ContentEditor.vue
apps/web/server/api/capabilities.get.ts
hq-optional-e2e.log</s:t>
        </s:is>
      </s:c>
      <s:c r="AE125" s="42" t="inlineStr">
        <s:is>
          <s:t>Pjesërisht — kërkon zhvillim</s:t>
        </s:is>
      </s:c>
      <s:c r="AF125" s="42" t="inlineStr">
        <s:is>
          <s:t>Po</s:t>
        </s:is>
      </s:c>
      <s:c r="AG125" s="42" t="inlineStr">
        <s:is>
          <s:t>Po — përzier me punë të jashtme</s:t>
        </s:is>
      </s:c>
      <s:c r="AH125" s="42" t="inlineStr">
        <s:is>
          <s:t>Mungojnë provider incident feed/typed degraded matrix dhe teste outage/revoked/quota të plota.</s:t>
        </s:is>
      </s:c>
      <s:c r="AI125" s="42" t="inlineStr">
        <s:is>
          <s:t>docs/backlog-code-handoff-2026-09-08.json#S6-B02</s:t>
        </s:is>
      </s:c>
      <s:c r="AJ125" s="42" t="inlineStr">
        <s:is>
          <s:t>Programmer B / review: Programmer A</s:t>
        </s:is>
      </s:c>
    </s:row>
    <s:row r="126" ht="180" customHeight="1" s="48">
      <s:c r="A126" s="17" t="inlineStr">
        <s:is>
          <s:t>S8-B01</s:t>
        </s:is>
      </s:c>
      <s:c r="B126" s="18" t="inlineStr">
        <s:is>
          <s:t>S8</s:t>
        </s:is>
      </s:c>
      <s:c r="C126" s="18" t="inlineStr">
        <s:is>
          <s:t>E2E</s:t>
        </s:is>
      </s:c>
      <s:c r="D126" s="12" t="inlineStr">
        <s:is>
          <s:t>Run final cross-browser critical E2E suite</s:t>
        </s:is>
      </s:c>
      <s:c r="E126" s="13" t="inlineStr">
        <s:is>
          <s:t>Cover Chromium/WebKit/Firefox for signup, onboarding, gallery, generate, approve, schedule, publish simulation, analytics and billing.</s:t>
        </s:is>
      </s:c>
      <s:c r="F126" s="13" t="inlineStr">
        <s:is>
          <s:t>Critical suite green on supported browsers/desktop; defined mobile projects green for core flows.</s:t>
        </s:is>
      </s:c>
      <s:c r="G126" s="18" t="inlineStr">
        <s:is>
          <s:t>S5-B09,S4-B08</s:t>
        </s:is>
      </s:c>
      <s:c r="H126" s="18" t="inlineStr">
        <s:is>
          <s:t>P0</s:t>
        </s:is>
      </s:c>
      <s:c r="I126" s="18" t="inlineStr">
        <s:is>
          <s:t>Programmer B</s:t>
        </s:is>
      </s:c>
      <s:c r="J126" s="18" t="inlineStr">
        <s:is>
          <s:t>Programmer A</s:t>
        </s:is>
      </s:c>
      <s:c r="K126" s="18" t="n">
        <s:v>9</s:v>
      </s:c>
      <s:c r="L126" s="28" t="inlineStr">
        <s:is>
          <s:t>In Progress</s:t>
        </s:is>
      </s:c>
      <s:c r="M126" s="13" t="inlineStr">
        <s:is>
          <s:t>Playwright full matrix</s:t>
        </s:is>
      </s:c>
      <s:c r="N126" s="18" t="inlineStr">
        <s:is>
          <s:t>RG-14</s:t>
        </s:is>
      </s:c>
      <s:c r="O126" s="13" t="inlineStr">
        <s:is>
          <s:t>Synthetic accounts; deterministic cleanup.</s:t>
        </s:is>
      </s:c>
      <s:c r="P126" s="18" t="inlineStr">
        <s:is>
          <s:t>final E2E suite</s:t>
        </s:is>
      </s:c>
      <s:c r="Q126" s="14">
        <s:f>INDEX('01_ROADMAP'!$C$5:$C$15,MATCH(B126,'01_ROADMAP'!$A$5:$A$15,0))</s:f>
        <s:v>46384.0</s:v>
      </s:c>
      <s:c r="R126" s="14">
        <s:f>INDEX('01_ROADMAP'!$D$5:$D$15,MATCH(B126,'01_ROADMAP'!$A$5:$A$15,0))</s:f>
        <s:v>46397.0</s:v>
      </s:c>
      <s:c r="S126" s="29" t="inlineStr">
        <s:is>
          <s:t>docs/backlog-partial-progress-2026-09-08.json#S8-B01</s:t>
        </s:is>
      </s:c>
      <s:c r="T126" s="13" t="inlineStr">
        <s:is>
          <s:t>FRONTEND</s:t>
        </s:is>
      </s:c>
      <s:c r="U126" s="13" t="inlineStr">
        <s:is>
          <s:t>Platform</s:t>
        </s:is>
      </s:c>
      <s:c r="V126" s="13" t="inlineStr">
        <s:is>
          <s:t>GA</s:t>
        </s:is>
      </s:c>
      <s:c r="W126" s="13" t="inlineStr">
        <s:is>
          <s:t>See companion DOCX; use Nuxt UI primitives and shared design system for user-facing tasks.</s:t>
        </s:is>
      </s:c>
      <s:c r="X126" s="13" t="inlineStr">
        <s:is>
          <s:t>Acceptance Criteria + Test Evidence + Release Gate</s:t>
        </s:is>
      </s:c>
      <s:c r="Y126" s="54" t="inlineStr">
        <s:is>
          <s:t>Pjesërisht</s:t>
        </s:is>
      </s:c>
      <s:c r="Z126" s="56" t="inlineStr">
        <s:is>
          <s:t>Tetë teste kritike kaluan në desktop/mobile Chromium me DB reale lokale dhe migrimet deri në 0013.</s:t>
        </s:is>
      </s:c>
      <s:c r="AA126" s="56" t="inlineStr">
        <s:is>
          <s:t>Mbeten Firefox/WebKit, hosted CI/staging dhe flows reale generation/publishing/billing.</s:t>
        </s:is>
      </s:c>
      <s:c r="AB126" s="56" t="inlineStr">
        <s:is>
          <s:t>Prova e kërkuar nga backlog-u: Playwright full matrix
Kriteri për t'u verifikuar (nuk deklarohet i kaluar): Critical suite green on supported browsers/desktop; defined mobile projects green for core flows.
DA-08: CI nga checkout i pastër kalon testet me DB; heqja e një guard-i e bllokon merge-in. Arkivo raportet pa sekrete.
Pranimi kërkon edhe gate-et: RG-14. Asnjë gate nuk është shënuar Passed nga ky audit.</s:t>
        </s:is>
      </s:c>
      <s:c r="AC126" s="56" t="inlineStr">
        <s:is>
          <s:t>8/8 Playwright exit 0 në 1.1 minuta; vetëm Chromium.
Validimi 2026-09-08: 8/8 critical E2E kaluan kundër artefaktit production në Chromium desktop/mobile; Firefox/WebKit dhe pajisjet e tjera të mbështetura mbeten.
Validimi 2026-09-08: 14/14 critical E2E kaluan kundër artefaktit production në Chromium desktop/mobile; Firefox/WebKit dhe pajisjet e tjera të mbështetura mbeten.</s:t>
        </s:is>
      </s:c>
      <s:c r="AD126" s="56" t="inlineStr">
        <s:is>
          <s:t>apps/web/tests/e2e
apps/web/playwright.config.ts
docs/VALIDATION.md
apps/web/playwright.config.ts; apps/web/tests/e2e; docs/VALIDATION.md</s:t>
        </s:is>
      </s:c>
      <s:c r="AE126" s="42" t="inlineStr">
        <s:is>
          <s:t>Pjesërisht — kërkon zhvillim</s:t>
        </s:is>
      </s:c>
      <s:c r="AF126" s="42" t="inlineStr">
        <s:is>
          <s:t>Po</s:t>
        </s:is>
      </s:c>
      <s:c r="AG126" s="42" t="inlineStr">
        <s:is>
          <s:t>Po — përzier me punë të jashtme</s:t>
        </s:is>
      </s:c>
      <s:c r="AH126" s="42" t="inlineStr">
        <s:is>
          <s:t>Mbeten Firefox/WebKit, hosted CI/staging dhe flows reale generation/publishing/billing.</s:t>
        </s:is>
      </s:c>
      <s:c r="AI126" s="42" t="inlineStr">
        <s:is>
          <s:t>docs/backlog-code-handoff-2026-09-08.json#S8-B01</s:t>
        </s:is>
      </s:c>
      <s:c r="AJ126" s="42" t="inlineStr">
        <s:is>
          <s:t>Programmer B / review: Programmer A</s:t>
        </s:is>
      </s:c>
    </s:row>
    <s:row r="127" ht="155.1" customHeight="1" s="48">
      <s:c r="A127" s="17" t="inlineStr">
        <s:is>
          <s:t>S8-B02</s:t>
        </s:is>
      </s:c>
      <s:c r="B127" s="18" t="inlineStr">
        <s:is>
          <s:t>S8</s:t>
        </s:is>
      </s:c>
      <s:c r="C127" s="18" t="inlineStr">
        <s:is>
          <s:t>Accessibility</s:t>
        </s:is>
      </s:c>
      <s:c r="D127" s="12" t="inlineStr">
        <s:is>
          <s:t>Complete final accessibility release pass</s:t>
        </s:is>
      </s:c>
      <s:c r="E127" s="13" t="inlineStr">
        <s:is>
          <s:t>Run automated and manual keyboard/focus/labels/contrast review on landing, auth, onboarding, gallery, content, calendar, billing.</s:t>
        </s:is>
      </s:c>
      <s:c r="F127" s="13" t="inlineStr">
        <s:is>
          <s:t>No serious/critical automated findings; manual blocker list empty; known minor issues documented.</s:t>
        </s:is>
      </s:c>
      <s:c r="G127" s="18" t="inlineStr">
        <s:is>
          <s:t>S5-B08,S8-B01</s:t>
        </s:is>
      </s:c>
      <s:c r="H127" s="18" t="inlineStr">
        <s:is>
          <s:t>P0</s:t>
        </s:is>
      </s:c>
      <s:c r="I127" s="18" t="inlineStr">
        <s:is>
          <s:t>Programmer B</s:t>
        </s:is>
      </s:c>
      <s:c r="J127" s="18" t="inlineStr">
        <s:is>
          <s:t>Programmer A</s:t>
        </s:is>
      </s:c>
      <s:c r="K127" s="18" t="n">
        <s:v>7</s:v>
      </s:c>
      <s:c r="L127" s="28" t="inlineStr">
        <s:is>
          <s:t>In Progress</s:t>
        </s:is>
      </s:c>
      <s:c r="M127" s="13" t="inlineStr">
        <s:is>
          <s:t>axe + manual checklist</s:t>
        </s:is>
      </s:c>
      <s:c r="N127" s="18" t="inlineStr">
        <s:is>
          <s:t>RG-14</s:t>
        </s:is>
      </s:c>
      <s:c r="O127" s="13" t="inlineStr">
        <s:is>
          <s:t>Release accessibility evidence.</s:t>
        </s:is>
      </s:c>
      <s:c r="P127" s="18" t="inlineStr">
        <s:is>
          <s:t>a11y release report</s:t>
        </s:is>
      </s:c>
      <s:c r="Q127" s="14">
        <s:f>INDEX('01_ROADMAP'!$C$5:$C$15,MATCH(B127,'01_ROADMAP'!$A$5:$A$15,0))</s:f>
        <s:v>46384.0</s:v>
      </s:c>
      <s:c r="R127" s="14">
        <s:f>INDEX('01_ROADMAP'!$D$5:$D$15,MATCH(B127,'01_ROADMAP'!$A$5:$A$15,0))</s:f>
        <s:v>46397.0</s:v>
      </s:c>
      <s:c r="S127" s="29" t="inlineStr">
        <s:is>
          <s:t>docs/backlog-deep-audit-2026-09-07.json#S8-B02</s:t>
        </s:is>
      </s:c>
      <s:c r="T127" s="13" t="inlineStr">
        <s:is>
          <s:t>FRONTEND</s:t>
        </s:is>
      </s:c>
      <s:c r="U127" s="13" t="inlineStr">
        <s:is>
          <s:t>Platform</s:t>
        </s:is>
      </s:c>
      <s:c r="V127" s="13" t="inlineStr">
        <s:is>
          <s:t>GA</s:t>
        </s:is>
      </s:c>
      <s:c r="W127" s="13" t="inlineStr">
        <s:is>
          <s:t>See companion DOCX; use Nuxt UI primitives and shared design system for user-facing tasks.</s:t>
        </s:is>
      </s:c>
      <s:c r="X127" s="13" t="inlineStr">
        <s:is>
          <s:t>Acceptance Criteria + Test Evidence + Release Gate</s:t>
        </s:is>
      </s:c>
      <s:c r="Y127" s="54" t="inlineStr">
        <s:is>
          <s:t>Pjesërisht</s:t>
        </s:is>
      </s:c>
      <s:c r="Z127" s="55" t="inlineStr">
        <s:is>
          <s:t>Nuxt UI primitives, labels/focus dhe reduced-motion ekzistojnë; axe është në testet live dhe provat e fundit mbulojnë desktop/mobile pa overflow.</s:t>
        </s:is>
      </s:c>
      <s:c r="AA127" s="55" t="inlineStr">
        <s:is>
          <s:t>1. Kryej acceptance accessibility në artefaktin që do promovohet: axe, keyboard, focus, error/recovery, contrast dhe screen-reader. Ruaj checklist-in për çdo rrjedhë; kalimet lokale nuk mbyllin release gate.</s:t>
        </s:is>
      </s:c>
      <s:c r="AB127" s="55" t="inlineStr">
        <s:is>
          <s:t>Prova e kërkuar nga backlog-u: axe + manual checklist
Kriteri për t'u verifikuar (nuk deklarohet i kaluar): No serious/critical automated findings; manual blocker list empty; known minor issues documented.
Pranimi kërkon edhe gate-et: RG-14. Asnjë gate nuk është shënuar Passed nga ky audit.</s:t>
        </s:is>
      </s:c>
      <s:c r="AC127" s="55"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127" s="55" t="inlineStr">
        <s:is>
          <s:t>apps/web/tests/e2e/live.spec.ts
apps/web/app/assets/css/main.css
docs/VALIDATION.md
hq-optional-e2e.log</s:t>
        </s:is>
      </s:c>
      <s:c r="AE127" s="42" t="inlineStr">
        <s:is>
          <s:t>Pjesërisht — kërkon zhvillim</s:t>
        </s:is>
      </s:c>
      <s:c r="AF127" s="42" t="inlineStr">
        <s:is>
          <s:t>Po</s:t>
        </s:is>
      </s:c>
      <s:c r="AG127" s="42" t="inlineStr">
        <s:is>
          <s:t>Po — përzier me punë të jashtme</s:t>
        </s:is>
      </s:c>
      <s:c r="AH127" s="42" t="inlineStr">
        <s:is>
          <s:t>Kryej acceptance accessibility në artefaktin që do promovohet: axe, keyboard, focus, error/recovery, contrast dhe screen-reader. Ruaj checklist-in për çdo rrjedhë; kalimet lokale nuk mbyllin release gate.</s:t>
        </s:is>
      </s:c>
      <s:c r="AI127" s="42" t="inlineStr">
        <s:is>
          <s:t>docs/backlog-code-handoff-2026-09-08.json#S8-B02</s:t>
        </s:is>
      </s:c>
      <s:c r="AJ127" s="42" t="inlineStr">
        <s:is>
          <s:t>Programmer B / review: Programmer A</s:t>
        </s:is>
      </s:c>
    </s:row>
    <s:row r="128" ht="180" customHeight="1" s="48">
      <s:c r="A128" s="17" t="inlineStr">
        <s:is>
          <s:t>S6-B05</s:t>
        </s:is>
      </s:c>
      <s:c r="B128" s="18" t="inlineStr">
        <s:is>
          <s:t>S6</s:t>
        </s:is>
      </s:c>
      <s:c r="C128" s="18" t="inlineStr">
        <s:is>
          <s:t>UX Reliability</s:t>
        </s:is>
      </s:c>
      <s:c r="D128" s="12" t="inlineStr">
        <s:is>
          <s:t>Harden slow/error/empty/retry states under fault injection</s:t>
        </s:is>
      </s:c>
      <s:c r="E128" s="13" t="inlineStr">
        <s:is>
          <s:t>Review app with artificial latency, offline/intermittent responses and typed backend/provider failures; fix double actions/stuck loaders.</s:t>
        </s:is>
      </s:c>
      <s:c r="F128" s="13" t="inlineStr">
        <s:is>
          <s:t>No infinite spinner; retriable actions recover; destructive action result unambiguous; draft work preserved where possible.</s:t>
        </s:is>
      </s:c>
      <s:c r="G128" s="18" t="inlineStr">
        <s:is>
          <s:t>S4-B06,S4-B08</s:t>
        </s:is>
      </s:c>
      <s:c r="H128" s="18" t="inlineStr">
        <s:is>
          <s:t>P0</s:t>
        </s:is>
      </s:c>
      <s:c r="I128" s="18" t="inlineStr">
        <s:is>
          <s:t>Programmer B</s:t>
        </s:is>
      </s:c>
      <s:c r="J128" s="18" t="inlineStr">
        <s:is>
          <s:t>Programmer A</s:t>
        </s:is>
      </s:c>
      <s:c r="K128" s="18" t="n">
        <s:v>7</s:v>
      </s:c>
      <s:c r="L128" s="28" t="inlineStr">
        <s:is>
          <s:t>In Progress</s:t>
        </s:is>
      </s:c>
      <s:c r="M128" s="13" t="inlineStr">
        <s:is>
          <s:t>Network throttling/fault E2E</s:t>
        </s:is>
      </s:c>
      <s:c r="N128" s="18" t="inlineStr">
        <s:is>
          <s:t>RG-14</s:t>
        </s:is>
      </s:c>
      <s:c r="O128" s="13" t="inlineStr">
        <s:is>
          <s:t>Prevents accidental duplicate commands.</s:t>
        </s:is>
      </s:c>
      <s:c r="P128" s="18" t="inlineStr">
        <s:is>
          <s:t>resilience UX fixes</s:t>
        </s:is>
      </s:c>
      <s:c r="Q128" s="14">
        <s:f>INDEX('01_ROADMAP'!$C$5:$C$15,MATCH(B128,'01_ROADMAP'!$A$5:$A$15,0))</s:f>
        <s:v>46356.0</s:v>
      </s:c>
      <s:c r="R128" s="14">
        <s:f>INDEX('01_ROADMAP'!$D$5:$D$15,MATCH(B128,'01_ROADMAP'!$A$5:$A$15,0))</s:f>
        <s:v>46369.0</s:v>
      </s:c>
      <s:c r="S128" s="29" t="inlineStr">
        <s:is>
          <s:t>docs/backlog-partial-progress-2026-09-08.json#S6-B05</s:t>
        </s:is>
      </s:c>
      <s:c r="T128" s="13" t="inlineStr">
        <s:is>
          <s:t>FRONTEND</s:t>
        </s:is>
      </s:c>
      <s:c r="U128" s="13" t="inlineStr">
        <s:is>
          <s:t>Platform</s:t>
        </s:is>
      </s:c>
      <s:c r="V128" s="13" t="inlineStr">
        <s:is>
          <s:t>GA</s:t>
        </s:is>
      </s:c>
      <s:c r="W128" s="13" t="inlineStr">
        <s:is>
          <s:t>See companion DOCX; use Nuxt UI primitives and shared design system for user-facing tasks.</s:t>
        </s:is>
      </s:c>
      <s:c r="X128" s="13" t="inlineStr">
        <s:is>
          <s:t>Acceptance Criteria + Test Evidence + Release Gate</s:t>
        </s:is>
      </s:c>
      <s:c r="Y128" s="54" t="inlineStr">
        <s:is>
          <s:t>Pjesërisht</s:t>
        </s:is>
      </s:c>
      <s:c r="Z128" s="56" t="inlineStr">
        <s:is>
          <s:t>Auth degradation është ndarë sipas veprimit; failed/uncertain kanë rrugë rikuperimi pa humbur draftin ose pa dyfishuar publikimin.</s:t>
        </s:is>
      </s:c>
      <s:c r="AA128" s="56" t="inlineStr">
        <s:is>
          <s:t>Mbetet network throttle/offline/intermittent/provider fault E2E dhe RG-14.</s:t>
        </s:is>
      </s:c>
      <s:c r="AB128" s="56" t="inlineStr">
        <s:is>
          <s:t>Prova e kërkuar nga backlog-u: Network throttling/fault E2E
Kriteri për t'u verifikuar (nuk deklarohet i kaluar): No infinite spinner; retriable actions recover; destructive action result unambiguous; draft work preserved where possible.
DA-06: Llogari ekzistuese me trial policy të padisponueshme: login lejohet kur auth punon; signup jep gabim të qartë; recovery ndjek vetëm gatishmërinë e emailit/auth.
Pranimi kërkon edhe gate-et: RG-14. Asnjë gate nuk është shënuar Passed nga ky audit.</s:t>
        </s:is>
      </s:c>
      <s:c r="AC128" s="56" t="inlineStr">
        <s:is>
          <s:t>Auth unit tests, state tests dhe 8 E2E kaluan në mjedis normal; fault injection browser mungon.</s:t>
        </s:is>
      </s:c>
      <s:c r="AD128" s="56" t="inlineStr">
        <s:is>
          <s:t>apps/web/server/utils/auth-configuration.ts
apps/web/app/components/AuthSurface.vue
apps/web/app/components/ContentEditor.vue</s:t>
        </s:is>
      </s:c>
      <s:c r="AE128" s="42" t="inlineStr">
        <s:is>
          <s:t>Pjesërisht — kërkon zhvillim</s:t>
        </s:is>
      </s:c>
      <s:c r="AF128" s="42" t="inlineStr">
        <s:is>
          <s:t>Po</s:t>
        </s:is>
      </s:c>
      <s:c r="AG128" s="42" t="inlineStr">
        <s:is>
          <s:t>Po — përzier me punë të jashtme</s:t>
        </s:is>
      </s:c>
      <s:c r="AH128" s="42" t="inlineStr">
        <s:is>
          <s:t>Mbetet network throttle/offline/intermittent/provider fault E2E dhe RG-14.</s:t>
        </s:is>
      </s:c>
      <s:c r="AI128" s="42" t="inlineStr">
        <s:is>
          <s:t>docs/backlog-code-handoff-2026-09-08.json#S6-B05</s:t>
        </s:is>
      </s:c>
      <s:c r="AJ128" s="42" t="inlineStr">
        <s:is>
          <s:t>Programmer B / review: Programmer A</s:t>
        </s:is>
      </s:c>
    </s:row>
    <s:row r="129" ht="159" customHeight="1" s="48">
      <s:c r="A129" s="17" t="inlineStr">
        <s:is>
          <s:t>S6-B06</s:t>
        </s:is>
      </s:c>
      <s:c r="B129" s="18" t="inlineStr">
        <s:is>
          <s:t>S6</s:t>
        </s:is>
      </s:c>
      <s:c r="C129" s="18" t="inlineStr">
        <s:is>
          <s:t>Documentation</s:t>
        </s:is>
      </s:c>
      <s:c r="D129" s="12" t="inlineStr">
        <s:is>
          <s:t>Create user help and in-product guidance baseline</s:t>
        </s:is>
      </s:c>
      <s:c r="E129" s="13" t="inlineStr">
        <s:is>
          <s:t>Write onboarding/connect-account/gallery/generation/approval/scheduling/reconnect/billing help content and contextual links.</s:t>
        </s:is>
      </s:c>
      <s:c r="F129" s="13" t="inlineStr">
        <s:is>
          <s:t>Help matches actual product states; no outdated permission names; support path/request ID guidance included.</s:t>
        </s:is>
      </s:c>
      <s:c r="G129" s="18" t="inlineStr">
        <s:is>
          <s:t>S6-B02,S6-B05</s:t>
        </s:is>
      </s:c>
      <s:c r="H129" s="18" t="inlineStr">
        <s:is>
          <s:t>P1</s:t>
        </s:is>
      </s:c>
      <s:c r="I129" s="18" t="inlineStr">
        <s:is>
          <s:t>Programmer B</s:t>
        </s:is>
      </s:c>
      <s:c r="J129" s="18" t="inlineStr">
        <s:is>
          <s:t>Programmer A</s:t>
        </s:is>
      </s:c>
      <s:c r="K129" s="18" t="n">
        <s:v>7</s:v>
      </s:c>
      <s:c r="L129" s="28" t="inlineStr">
        <s:is>
          <s:t>In Progress</s:t>
        </s:is>
      </s:c>
      <s:c r="M129" s="13" t="inlineStr">
        <s:is>
          <s:t>Content/UX review</s:t>
        </s:is>
      </s:c>
      <s:c r="N129" s="18" t="inlineStr">
        <s:is>
          <s:t>RG-14</s:t>
        </s:is>
      </s:c>
      <s:c r="O129" s="13" t="inlineStr">
        <s:is>
          <s:t>No sensitive troubleshooting instructions exposed.</s:t>
        </s:is>
      </s:c>
      <s:c r="P129" s="18" t="inlineStr">
        <s:is>
          <s:t>help center/in-product docs</s:t>
        </s:is>
      </s:c>
      <s:c r="Q129" s="14">
        <s:f>INDEX('01_ROADMAP'!$C$5:$C$15,MATCH(B129,'01_ROADMAP'!$A$5:$A$15,0))</s:f>
        <s:v>46356.0</s:v>
      </s:c>
      <s:c r="R129" s="14">
        <s:f>INDEX('01_ROADMAP'!$D$5:$D$15,MATCH(B129,'01_ROADMAP'!$A$5:$A$15,0))</s:f>
        <s:v>46369.0</s:v>
      </s:c>
      <s:c r="S129" s="29" t="inlineStr">
        <s:is>
          <s:t>docs/backlog-deep-audit-2026-09-07.json#S6-B06</s:t>
        </s:is>
      </s:c>
      <s:c r="T129" s="13" t="inlineStr">
        <s:is>
          <s:t>FRONTEND</s:t>
        </s:is>
      </s:c>
      <s:c r="U129" s="13" t="inlineStr">
        <s:is>
          <s:t>Platform</s:t>
        </s:is>
      </s:c>
      <s:c r="V129" s="13" t="inlineStr">
        <s:is>
          <s:t>GA</s:t>
        </s:is>
      </s:c>
      <s:c r="W129" s="13" t="inlineStr">
        <s:is>
          <s:t>See companion DOCX; use Nuxt UI primitives and shared design system for user-facing tasks.</s:t>
        </s:is>
      </s:c>
      <s:c r="X129" s="13" t="inlineStr">
        <s:is>
          <s:t>Acceptance Criteria + Test Evidence + Release Gate</s:t>
        </s:is>
      </s:c>
      <s:c r="Y129" s="54" t="inlineStr">
        <s:is>
          <s:t>Pjesërisht</s:t>
        </s:is>
      </s:c>
      <s:c r="Z129" s="55" t="inlineStr">
        <s:is>
          <s:t>Help, onboarding checklist dhe lidhje kontekstuale janë në shqip; help i kalendarit shpjegon Meta opsionale.</s:t>
        </s:is>
      </s:c>
      <s:c r="AA129" s="55" t="inlineStr">
        <s:is>
          <s:t>1. Duhet sinkronizim i gjithë copy me local verify bypass/Meta optional, support contact/request-ID dhe content review. CopilotPanel ende e paraqet lidhjen Meta si hap të numëruar.
2. DA-13: Përditëso ADR/README/validation dhe copy sipas capabilities, Meta opsionale dhe scope-it posts-only. Raporti BACKLOG-REVIEW-SQ është përditësuar nga ky audit; kjo nuk zëvendëson dokumentet e tjera.</s:t>
        </s:is>
      </s:c>
      <s:c r="AB129" s="55" t="inlineStr">
        <s:is>
          <s:t>Prova e kërkuar nga backlog-u: Content/UX review
Kriteri për t'u verifikuar (nuk deklarohet i kaluar): Help matches actual product states; no outdated permission names; support path/request ID guidance included.
DA-13: Content review në local bypass dhe public verification, pa përshkrime të shërbimeve të paaktivizuara si aktive; operatori pranon versionin publik.
Pranimi kërkon edhe gate-et: RG-14. Asnjë gate nuk është shënuar Passed nga ky audit.</s:t>
        </s:is>
      </s:c>
      <s:c r="AC129" s="55" t="inlineStr">
        <s:is>
          <s:t>U rishikuan kodi/artefaktet dhe u kërkua implementimi i kësaj detyre. Nuk ka provë të ekzekutuar specifike që mbyll të gjithë kriterin; kontrollet globale nuk e zëvendësojnë atë.</s:t>
        </s:is>
      </s:c>
      <s:c r="AD129" s="55" t="inlineStr">
        <s:is>
          <s:t>apps/web/app/pages/help.vue
apps/web/app/components/CopilotPanel.vue
apps/web/app/components/BusinessOnboarding.vue
docs/POST-APPROVAL.md
README.md
docs/VALIDATION.md
docs/adr/ADR-001-frontend-demo.md
apps/web/app/pages/help.vue:9
apps/web/app/pages/pricing.vue:43
apps/web/app/pages/app/[org]/[brand]/settings.vue:170
apps/web/app/components/CopilotPanel.vue:12
DA-13: Dokumentet e demonstrimit nuk përfaqësojnë backend-in real. Help/pricing/settings përmendin verifikim emaili pa kusht; konfigurimi lokal e anashkalon. Copilot e rendit Meta si hap 2 pa shënimin opsional. Galeria ende ka fallback tekstual Unsplash.</s:t>
        </s:is>
      </s:c>
      <s:c r="AE129" s="42" t="inlineStr">
        <s:is>
          <s:t>Pjesërisht — kërkon zhvillim</s:t>
        </s:is>
      </s:c>
      <s:c r="AF129" s="42" t="inlineStr">
        <s:is>
          <s:t>Po</s:t>
        </s:is>
      </s:c>
      <s:c r="AG129" s="42" t="inlineStr">
        <s:is>
          <s:t>Po — përzier me punë të jashtme</s:t>
        </s:is>
      </s:c>
      <s:c r="AH129" s="42" t="inlineStr">
        <s:is>
          <s:t>Duhet sinkronizim i gjithë copy me local verify bypass/Meta optional, support contact/request-ID dhe content review. CopilotPanel ende e paraqet lidhjen Meta si hap të numëruar. 2.</s:t>
        </s:is>
      </s:c>
      <s:c r="AI129" s="42" t="inlineStr">
        <s:is>
          <s:t>docs/backlog-code-handoff-2026-09-08.json#S6-B06</s:t>
        </s:is>
      </s:c>
      <s:c r="AJ129" s="42" t="inlineStr">
        <s:is>
          <s:t>Programmer B / review: Programmer A</s:t>
        </s:is>
      </s:c>
    </s:row>
    <s:row r="130" ht="155.1" customHeight="1" s="48">
      <s:c r="A130" s="17" t="inlineStr">
        <s:is>
          <s:t>S6-B07</s:t>
        </s:is>
      </s:c>
      <s:c r="B130" s="18" t="inlineStr">
        <s:is>
          <s:t>S6</s:t>
        </s:is>
      </s:c>
      <s:c r="C130" s="18" t="inlineStr">
        <s:is>
          <s:t>Product Analytics</s:t>
        </s:is>
      </s:c>
      <s:c r="D130" s="12" t="inlineStr">
        <s:is>
          <s:t>Validate activation funnel telemetry</s:t>
        </s:is>
      </s:c>
      <s:c r="E130" s="13" t="inlineStr">
        <s:is>
          <s:t>Verify privacy-safe events for signup-&gt;org-&gt;brand-&gt;connect-&gt;upload-&gt;brain-&gt;first draft-&gt;first publish and create baseline dashboard/query.</s:t>
        </s:is>
      </s:c>
      <s:c r="F130" s="13" t="inlineStr">
        <s:is>
          <s:t>No content/prompt/PII in payload; event loss/duplication within accepted semantics; funnel can be computed.</s:t>
        </s:is>
      </s:c>
      <s:c r="G130" s="18" t="inlineStr">
        <s:is>
          <s:t>S1-B09,S4-B08</s:t>
        </s:is>
      </s:c>
      <s:c r="H130" s="18" t="inlineStr">
        <s:is>
          <s:t>P1</s:t>
        </s:is>
      </s:c>
      <s:c r="I130" s="18" t="inlineStr">
        <s:is>
          <s:t>Programmer B</s:t>
        </s:is>
      </s:c>
      <s:c r="J130" s="18" t="inlineStr">
        <s:is>
          <s:t>Programmer A</s:t>
        </s:is>
      </s:c>
      <s:c r="K130" s="18" t="n">
        <s:v>5</s:v>
      </s:c>
      <s:c r="L130" s="30" t="inlineStr">
        <s:is>
          <s:t>Not Started</s:t>
        </s:is>
      </s:c>
      <s:c r="M130" s="13" t="inlineStr">
        <s:is>
          <s:t>Event schema/sample audit</s:t>
        </s:is>
      </s:c>
      <s:c r="N130" s="18" t="inlineStr">
        <s:is>
          <s:t>RG-09</s:t>
        </s:is>
      </s:c>
      <s:c r="O130" s="13" t="inlineStr">
        <s:is>
          <s:t>Data minimization.</s:t>
        </s:is>
      </s:c>
      <s:c r="P130" s="18" t="inlineStr">
        <s:is>
          <s:t>activation telemetry</s:t>
        </s:is>
      </s:c>
      <s:c r="Q130" s="14">
        <s:f>INDEX('01_ROADMAP'!$C$5:$C$15,MATCH(B130,'01_ROADMAP'!$A$5:$A$15,0))</s:f>
        <s:v>46356.0</s:v>
      </s:c>
      <s:c r="R130" s="14">
        <s:f>INDEX('01_ROADMAP'!$D$5:$D$15,MATCH(B130,'01_ROADMAP'!$A$5:$A$15,0))</s:f>
        <s:v>46369.0</s:v>
      </s:c>
      <s:c r="S130" s="29" t="inlineStr">
        <s:is>
          <s:t>docs/backlog-deep-audit-2026-09-07.json#S6-B07</s:t>
        </s:is>
      </s:c>
      <s:c r="T130" s="13" t="inlineStr">
        <s:is>
          <s:t>BACKEND</s:t>
        </s:is>
      </s:c>
      <s:c r="U130" s="13" t="inlineStr">
        <s:is>
          <s:t>Analytics</s:t>
        </s:is>
      </s:c>
      <s:c r="V130" s="13" t="inlineStr">
        <s:is>
          <s:t>GA</s:t>
        </s:is>
      </s:c>
      <s:c r="W130" s="13" t="inlineStr">
        <s:is>
          <s:t>See companion DOCX; use Nuxt UI primitives and shared design system for user-facing tasks.</s:t>
        </s:is>
      </s:c>
      <s:c r="X130" s="13" t="inlineStr">
        <s:is>
          <s:t>Acceptance Criteria + Test Evidence + Release Gate</s:t>
        </s:is>
      </s:c>
      <s:c r="Y130" s="57" t="inlineStr">
        <s:is>
          <s:t>Pa filluar</s:t>
        </s:is>
      </s:c>
      <s:c r="Z130" s="56" t="inlineStr">
        <s:is>
          <s:t>Nuk u gjet shërbim telemetry/product events apo funnel dashboard.</s:t>
        </s:is>
      </s:c>
      <s:c r="AA130" s="56" t="inlineStr">
        <s:is>
          <s:t>1. Pas wrapper-it të eventeve: verifiko signup→business→upload→brain→draft dhe degën opsionale connect→publish; ndërto query funnel dhe mat humbje/dyfishim pa PII/prompt/content.</s:t>
        </s:is>
      </s:c>
      <s:c r="AB130" s="56" t="inlineStr">
        <s:is>
          <s:t>Prova e kërkuar nga backlog-u: Event schema/sample audit
Kriteri për t'u verifikuar (nuk deklarohet i kaluar): No content/prompt/PII in payload; event loss/duplication within accepted semantics; funnel can be computed.
Pranimi kërkon edhe gate-et: RG-09. Asnjë gate nuk është shënuar Passed nga ky audit.</s:t>
        </s:is>
      </s:c>
      <s:c r="AC130" s="56" t="inlineStr">
        <s:is>
          <s:t>U rishikuan kodi/artefaktet dhe u kërkua implementimi i kësaj detyre. Nuk ka provë të ekzekutuar specifike që mbyll të gjithë kriterin; kontrollet globale nuk e zëvendësojnë atë.</s:t>
        </s:is>
      </s:c>
      <s:c r="AD130" s="56" t="inlineStr">
        <s:is>
          <s:t>Nuk u gjet implementim specifik; shiko kriterin dhe hapat në AA/AB.</s:t>
        </s:is>
      </s:c>
      <s:c r="AE130" s="42" t="inlineStr">
        <s:is>
          <s:t>Pa filluar</s:t>
        </s:is>
      </s:c>
      <s:c r="AF130" s="42" t="inlineStr">
        <s:is>
          <s:t>Po</s:t>
        </s:is>
      </s:c>
      <s:c r="AG130" s="42" t="inlineStr">
        <s:is>
          <s:t>Po, pas implementimit</s:t>
        </s:is>
      </s:c>
      <s:c r="AH130" s="42" t="inlineStr">
        <s:is>
          <s:t>Pas wrapper-it të eventeve: verifiko signup→business→upload→brain→draft dhe degën opsionale connect→publish; ndërto query funnel dhe mat humbje/dyfishim pa PII/prompt/content.</s:t>
        </s:is>
      </s:c>
      <s:c r="AI130" s="42" t="inlineStr">
        <s:is>
          <s:t>docs/backlog-code-handoff-2026-09-08.json#S6-B07</s:t>
        </s:is>
      </s:c>
      <s:c r="AJ130" s="42" t="inlineStr">
        <s:is>
          <s:t>Programmer B / review: Programmer A</s:t>
        </s:is>
      </s:c>
    </s:row>
    <s:row r="131" ht="155.1" customHeight="1" s="48">
      <s:c r="A131" s="17" t="inlineStr">
        <s:is>
          <s:t>S8-B03</s:t>
        </s:is>
      </s:c>
      <s:c r="B131" s="18" t="inlineStr">
        <s:is>
          <s:t>S8</s:t>
        </s:is>
      </s:c>
      <s:c r="C131" s="18" t="inlineStr">
        <s:is>
          <s:t>UAT</s:t>
        </s:is>
      </s:c>
      <s:c r="D131" s="12" t="inlineStr">
        <s:is>
          <s:t>Coordinate scripted UAT and defect burn-down</s:t>
        </s:is>
      </s:c>
      <s:c r="E131" s="13" t="inlineStr">
        <s:is>
          <s:t>Run representative dental/restaurant/real-estate test businesses through full workflow; triage by severity and close launch blockers.</s:t>
        </s:is>
      </s:c>
      <s:c r="F131" s="13" t="inlineStr">
        <s:is>
          <s:t>All P0/P1 defects closed; P2 accepted with owner/target; evidence links to backlog/release gates.</s:t>
        </s:is>
      </s:c>
      <s:c r="G131" s="18" t="inlineStr">
        <s:is>
          <s:t>S8-B01,S6-B05,S6-B06</s:t>
        </s:is>
      </s:c>
      <s:c r="H131" s="18" t="inlineStr">
        <s:is>
          <s:t>P0</s:t>
        </s:is>
      </s:c>
      <s:c r="I131" s="18" t="inlineStr">
        <s:is>
          <s:t>Programmer B</s:t>
        </s:is>
      </s:c>
      <s:c r="J131" s="18" t="inlineStr">
        <s:is>
          <s:t>Programmer A</s:t>
        </s:is>
      </s:c>
      <s:c r="K131" s="18" t="n">
        <s:v>10</s:v>
      </s:c>
      <s:c r="L131" s="30" t="inlineStr">
        <s:is>
          <s:t>Not Started</s:t>
        </s:is>
      </s:c>
      <s:c r="M131" s="13" t="inlineStr">
        <s:is>
          <s:t>UAT scripts + regression evidence</s:t>
        </s:is>
      </s:c>
      <s:c r="N131" s="18" t="inlineStr">
        <s:is>
          <s:t>RG-14</s:t>
        </s:is>
      </s:c>
      <s:c r="O131" s="13" t="inlineStr">
        <s:is>
          <s:t>Use consented/synthetic beta assets.</s:t>
        </s:is>
      </s:c>
      <s:c r="P131" s="18" t="inlineStr">
        <s:is>
          <s:t>UAT report</s:t>
        </s:is>
      </s:c>
      <s:c r="Q131" s="14">
        <s:f>INDEX('01_ROADMAP'!$C$5:$C$15,MATCH(B131,'01_ROADMAP'!$A$5:$A$15,0))</s:f>
        <s:v>46384.0</s:v>
      </s:c>
      <s:c r="R131" s="14">
        <s:f>INDEX('01_ROADMAP'!$D$5:$D$15,MATCH(B131,'01_ROADMAP'!$A$5:$A$15,0))</s:f>
        <s:v>46397.0</s:v>
      </s:c>
      <s:c r="S131" s="29" t="inlineStr">
        <s:is>
          <s:t>docs/backlog-deep-audit-2026-09-07.json#S8-B03</s:t>
        </s:is>
      </s:c>
      <s:c r="T131" s="13" t="inlineStr">
        <s:is>
          <s:t>QA</s:t>
        </s:is>
      </s:c>
      <s:c r="U131" s="13" t="inlineStr">
        <s:is>
          <s:t>Platform</s:t>
        </s:is>
      </s:c>
      <s:c r="V131" s="13" t="inlineStr">
        <s:is>
          <s:t>GA</s:t>
        </s:is>
      </s:c>
      <s:c r="W131" s="13" t="inlineStr">
        <s:is>
          <s:t>See companion DOCX; use Nuxt UI primitives and shared design system for user-facing tasks.</s:t>
        </s:is>
      </s:c>
      <s:c r="X131" s="13" t="inlineStr">
        <s:is>
          <s:t>Acceptance Criteria + Test Evidence + Release Gate</s:t>
        </s:is>
      </s:c>
      <s:c r="Y131" s="57" t="inlineStr">
        <s:is>
          <s:t>Pa filluar</s:t>
        </s:is>
      </s:c>
      <s:c r="Z131" s="55" t="inlineStr">
        <s:is>
          <s:t>Ka zhvillim dhe prova automatike lokale, por nuk u gjet raport UAT nga biznese.</s:t>
        </s:is>
      </s:c>
      <s:c r="AA131" s="55" t="inlineStr">
        <s:is>
          <s:t>1. Kryej UAT me biznese përfaqësuese dental/restaurant/real-estate për ciklin e lejuar; lidh defektet me task/gate dhe mbyll P0/P1, me owner/afat për përjashtimet P2.</s:t>
        </s:is>
      </s:c>
      <s:c r="AB131" s="55" t="inlineStr">
        <s:is>
          <s:t>Prova e kërkuar nga backlog-u: UAT scripts + regression evidence
Kriteri për t'u verifikuar (nuk deklarohet i kaluar): All P0/P1 defects closed; P2 accepted with owner/target; evidence links to backlog/release gates.
Pranimi kërkon edhe gate-et: RG-14. Asnjë gate nuk është shënuar Passed nga ky audit.</s:t>
        </s:is>
      </s:c>
      <s:c r="AC131" s="55" t="inlineStr">
        <s:is>
          <s:t>U rishikuan kodi/artefaktet dhe u kërkua implementimi i kësaj detyre. Nuk ka provë të ekzekutuar specifike që mbyll të gjithë kriterin; kontrollet globale nuk e zëvendësojnë atë.</s:t>
        </s:is>
      </s:c>
      <s:c r="AD131" s="55" t="inlineStr">
        <s:is>
          <s:t>Nuk u gjet implementim specifik; shiko kriterin dhe hapat në AA/AB.</s:t>
        </s:is>
      </s:c>
      <s:c r="AE131" s="42" t="inlineStr">
        <s:is>
          <s:t>Pa filluar</s:t>
        </s:is>
      </s:c>
      <s:c r="AF131" s="42" t="inlineStr">
        <s:is>
          <s:t>Po</s:t>
        </s:is>
      </s:c>
      <s:c r="AG131" s="42" t="inlineStr">
        <s:is>
          <s:t>Po, pas implementimit</s:t>
        </s:is>
      </s:c>
      <s:c r="AH131" s="42" t="inlineStr">
        <s:is>
          <s:t>Kryej UAT me biznese përfaqësuese dental/restaurant/real-estate për ciklin e lejuar; lidh defektet me task/gate dhe mbyll P0/P1, me owner/afat për përjashtimet P2.</s:t>
        </s:is>
      </s:c>
      <s:c r="AI131" s="42" t="inlineStr">
        <s:is>
          <s:t>docs/backlog-code-handoff-2026-09-08.json#S8-B03</s:t>
        </s:is>
      </s:c>
      <s:c r="AJ131" s="42" t="inlineStr">
        <s:is>
          <s:t>Programmer B / review: Programmer A</s:t>
        </s:is>
      </s:c>
    </s:row>
    <s:row r="132" ht="155.1" customHeight="1" s="48">
      <s:c r="A132" s="17" t="inlineStr">
        <s:is>
          <s:t>S8-B04</s:t>
        </s:is>
      </s:c>
      <s:c r="B132" s="18" t="inlineStr">
        <s:is>
          <s:t>S8</s:t>
        </s:is>
      </s:c>
      <s:c r="C132" s="18" t="inlineStr">
        <s:is>
          <s:t>Launch</s:t>
        </s:is>
      </s:c>
      <s:c r="D132" s="12" t="inlineStr">
        <s:is>
          <s:t>Execute production UI smoke and launch checklist</s:t>
        </s:is>
      </s:c>
      <s:c r="E132" s="13" t="inlineStr">
        <s:is>
          <s:t>After progressive deploy, verify public landing/auth, org/onboarding, safe Meta connect, gallery, generation, calendar, billing and support contact on production.</s:t>
        </s:is>
      </s:c>
      <s:c r="F132" s="13" t="inlineStr">
        <s:is>
          <s:t>Checklist signed; no console critical errors; analytics/monitoring sees synthetic smoke; feature flags match rollout cohort.</s:t>
        </s:is>
      </s:c>
      <s:c r="G132" s="18" t="inlineStr">
        <s:is>
          <s:t>S8-A04,S8-B03</s:t>
        </s:is>
      </s:c>
      <s:c r="H132" s="18" t="inlineStr">
        <s:is>
          <s:t>P0</s:t>
        </s:is>
      </s:c>
      <s:c r="I132" s="18" t="inlineStr">
        <s:is>
          <s:t>Programmer B</s:t>
        </s:is>
      </s:c>
      <s:c r="J132" s="18" t="inlineStr">
        <s:is>
          <s:t>Programmer A</s:t>
        </s:is>
      </s:c>
      <s:c r="K132" s="18" t="n">
        <s:v>6</s:v>
      </s:c>
      <s:c r="L132" s="30" t="inlineStr">
        <s:is>
          <s:t>Not Started</s:t>
        </s:is>
      </s:c>
      <s:c r="M132" s="13" t="inlineStr">
        <s:is>
          <s:t>Production smoke checklist</s:t>
        </s:is>
      </s:c>
      <s:c r="N132" s="18" t="inlineStr">
        <s:is>
          <s:t>RG-14</s:t>
        </s:is>
      </s:c>
      <s:c r="O132" s="13" t="inlineStr">
        <s:is>
          <s:t>Use dedicated production smoke tenant.</s:t>
        </s:is>
      </s:c>
      <s:c r="P132" s="18" t="inlineStr">
        <s:is>
          <s:t>launch checklist</s:t>
        </s:is>
      </s:c>
      <s:c r="Q132" s="14">
        <s:f>INDEX('01_ROADMAP'!$C$5:$C$15,MATCH(B132,'01_ROADMAP'!$A$5:$A$15,0))</s:f>
        <s:v>46384.0</s:v>
      </s:c>
      <s:c r="R132" s="14">
        <s:f>INDEX('01_ROADMAP'!$D$5:$D$15,MATCH(B132,'01_ROADMAP'!$A$5:$A$15,0))</s:f>
        <s:v>46397.0</s:v>
      </s:c>
      <s:c r="S132" s="29" t="inlineStr">
        <s:is>
          <s:t>docs/backlog-deep-audit-2026-09-07.json#S8-B04</s:t>
        </s:is>
      </s:c>
      <s:c r="T132" s="13" t="inlineStr">
        <s:is>
          <s:t>BACKEND</s:t>
        </s:is>
      </s:c>
      <s:c r="U132" s="13" t="inlineStr">
        <s:is>
          <s:t>Platform</s:t>
        </s:is>
      </s:c>
      <s:c r="V132" s="13" t="inlineStr">
        <s:is>
          <s:t>GA</s:t>
        </s:is>
      </s:c>
      <s:c r="W132" s="13" t="inlineStr">
        <s:is>
          <s:t>See companion DOCX; use Nuxt UI primitives and shared design system for user-facing tasks.</s:t>
        </s:is>
      </s:c>
      <s:c r="X132" s="13" t="inlineStr">
        <s:is>
          <s:t>Acceptance Criteria + Test Evidence + Release Gate</s:t>
        </s:is>
      </s:c>
      <s:c r="Y132" s="57" t="inlineStr">
        <s:is>
          <s:t>Pa filluar</s:t>
        </s:is>
      </s:c>
      <s:c r="Z132" s="56" t="inlineStr">
        <s:is>
          <s:t>Nuk u gjet deployment/production rollout ose raport smoke prodhimi.</s:t>
        </s:is>
      </s:c>
      <s:c r="AA132" s="56" t="inlineStr">
        <s:is>
          <s:t>1. Pas deploy-it gradual: smoke publik/auth/onboarding/Meta/media/generation/calendar/billing/contact në domenin production, verifiko monitorimin, console dhe cohort flags; ruaj checklist të pranuar.</s:t>
        </s:is>
      </s:c>
      <s:c r="AB132" s="56" t="inlineStr">
        <s:is>
          <s:t>Prova e kërkuar nga backlog-u: Production smoke checklist
Kriteri për t'u verifikuar (nuk deklarohet i kaluar): Checklist signed; no console critical errors; analytics/monitoring sees synthetic smoke; feature flags match rollout cohort.
Pranimi kërkon edhe gate-et: RG-14. Asnjë gate nuk është shënuar Passed nga ky audit.</s:t>
        </s:is>
      </s:c>
      <s:c r="AC132" s="56" t="inlineStr">
        <s:is>
          <s:t>U rishikuan kodi/artefaktet dhe u kërkua implementimi i kësaj detyre. Nuk ka provë të ekzekutuar specifike që mbyll të gjithë kriterin; kontrollet globale nuk e zëvendësojnë atë.</s:t>
        </s:is>
      </s:c>
      <s:c r="AD132" s="56" t="inlineStr">
        <s:is>
          <s:t>Nuk u gjet implementim specifik; shiko kriterin dhe hapat në AA/AB.</s:t>
        </s:is>
      </s:c>
      <s:c r="AE132" s="42" t="inlineStr">
        <s:is>
          <s:t>Pa filluar</s:t>
        </s:is>
      </s:c>
      <s:c r="AF132" s="42" t="inlineStr">
        <s:is>
          <s:t>Po</s:t>
        </s:is>
      </s:c>
      <s:c r="AG132" s="42" t="inlineStr">
        <s:is>
          <s:t>Po, pas implementimit</s:t>
        </s:is>
      </s:c>
      <s:c r="AH132" s="42" t="inlineStr">
        <s:is>
          <s:t>Pas deploy-it gradual: smoke publik/auth/onboarding/Meta/media/generation/calendar/billing/contact në domenin production, verifiko monitorimin, console dhe cohort flags; ruaj checklist të pranuar.</s:t>
        </s:is>
      </s:c>
      <s:c r="AI132" s="42" t="inlineStr">
        <s:is>
          <s:t>docs/backlog-code-handoff-2026-09-08.json#S8-B04</s:t>
        </s:is>
      </s:c>
      <s:c r="AJ132" s="42" t="inlineStr">
        <s:is>
          <s:t>Programmer B / review: Programmer A</s:t>
        </s:is>
      </s:c>
    </s:row>
    <s:row r="133" ht="155.1" customHeight="1" s="48">
      <s:c r="A133" s="17" t="inlineStr">
        <s:is>
          <s:t>S6-A10</s:t>
        </s:is>
      </s:c>
      <s:c r="B133" s="18" t="inlineStr">
        <s:is>
          <s:t>S6</s:t>
        </s:is>
      </s:c>
      <s:c r="C133" s="18" t="inlineStr">
        <s:is>
          <s:t>Marketing Strategy</s:t>
        </s:is>
      </s:c>
      <s:c r="D133" s="12" t="inlineStr">
        <s:is>
          <s:t>Implement versioned MarketingStrategy domain and planner orchestration</s:t>
        </s:is>
      </s:c>
      <s:c r="E133" s="13" t="inlineStr">
        <s:is>
          <s:t>Create strategy schema/service for objectives, audience refs, content pillars, cadence, channel mix, constraints and measurement plan. AI proposes structured strategy grounded in Business Brain/history; activation creates immutable version.</s:t>
        </s:is>
      </s:c>
      <s:c r="F133" s="13" t="inlineStr">
        <s:is>
          <s:t>Active strategy is immutable; revisions supersede; every generated field has source/reason metadata; invalid audience/brand refs rejected.</s:t>
        </s:is>
      </s:c>
      <s:c r="G133" s="18" t="inlineStr">
        <s:is>
          <s:t>S3-A05,S3-A10,S5-A03</s:t>
        </s:is>
      </s:c>
      <s:c r="H133" s="18" t="inlineStr">
        <s:is>
          <s:t>P0</s:t>
        </s:is>
      </s:c>
      <s:c r="I133" s="18" t="inlineStr">
        <s:is>
          <s:t>Programmer A</s:t>
        </s:is>
      </s:c>
      <s:c r="J133" s="18" t="inlineStr">
        <s:is>
          <s:t>Programmer B</s:t>
        </s:is>
      </s:c>
      <s:c r="K133" s="18" t="n">
        <s:v>9</s:v>
      </s:c>
      <s:c r="L133" s="32" t="inlineStr">
        <s:is>
          <s:t>Deferred</s:t>
        </s:is>
      </s:c>
      <s:c r="M133" s="13" t="inlineStr">
        <s:is>
          <s:t>Unit + golden eval + API contract</s:t>
        </s:is>
      </s:c>
      <s:c r="N133" s="18" t="inlineStr">
        <s:is>
          <s:t>RG-15,RG-16</s:t>
        </s:is>
      </s:c>
      <s:c r="O133" s="13" t="inlineStr">
        <s:is>
          <s:t>No sensitive targeting inference; strategy is tenant/brand scoped.</s:t>
        </s:is>
      </s:c>
      <s:c r="P133" s="18" t="inlineStr">
        <s:is>
          <s:t>strategy domain + planner</s:t>
        </s:is>
      </s:c>
      <s:c r="Q133" s="14">
        <s:f>INDEX('01_ROADMAP'!$C$5:$C$15,MATCH(B133,'01_ROADMAP'!$A$5:$A$15,0))</s:f>
        <s:v>46356.0</s:v>
      </s:c>
      <s:c r="R133" s="14">
        <s:f>INDEX('01_ROADMAP'!$D$5:$D$15,MATCH(B133,'01_ROADMAP'!$A$5:$A$15,0))</s:f>
        <s:v>46369.0</s:v>
      </s:c>
      <s:c r="S133" s="29" t="inlineStr">
        <s:is>
          <s:t>docs/backlog-deep-audit-2026-09-07.json#S6-A10</s:t>
        </s:is>
      </s:c>
      <s:c r="T133" s="13" t="inlineStr">
        <s:is>
          <s:t>AI</s:t>
        </s:is>
      </s:c>
      <s:c r="U133" s="13" t="inlineStr">
        <s:is>
          <s:t>Strategy</s:t>
        </s:is>
      </s:c>
      <s:c r="V133" s="13" t="inlineStr">
        <s:is>
          <s:t>Deferred — posts scope</s:t>
        </s:is>
      </s:c>
      <s:c r="W133" s="13" t="inlineStr">
        <s:is>
          <s:t>Strategy page consumes versioned contract; partial regenerate supported.</s:t>
        </s:is>
      </s:c>
      <s:c r="X133" s="13" t="inlineStr">
        <s:is>
          <s:t>Unit + golden eval + API contract</s:t>
        </s:is>
      </s:c>
      <s:c r="Y133" s="59" t="inlineStr">
        <s:is>
          <s:t>Shtyrë</s:t>
        </s:is>
      </s:c>
      <s:c r="Z133" s="55" t="inlineStr">
        <s:is>
          <s:t>Strategjia, fushatat, marketing learning dhe attribution janë shtyrë nga scope-i aktiv sipas kërkesës së përdoruesit.</s:t>
        </s:is>
      </s:c>
      <s:c r="AA133" s="55" t="inlineStr">
        <s:is>
          <s:t>1. Jashtë scope-it aktual: strategy schema me objectives/audience/pillars/cadence/constraints/measurement; aktivizim versioni immutable dhe propozime AI me source/reason refs pa overwrite.</s:t>
        </s:is>
      </s:c>
      <s:c r="AB133" s="55" t="inlineStr">
        <s:is>
          <s:t>Prova e kërkuar nga backlog-u: Unit + golden eval + API contract
Kriteri për t'u verifikuar (nuk deklarohet i kaluar): Active strategy is immutable; revisions supersede; every generated field has source/reason metadata; invalid audience/brand refs rejected.
Pranimi kërkon edhe gate-et: RG-15,RG-16. Asnjë gate nuk është shënuar Passed nga ky audit.</s:t>
        </s:is>
      </s:c>
      <s:c r="AC133" s="55" t="inlineStr">
        <s:is>
          <s:t>Shtyrë sipas scope-it; nuk është realizuar. Kriteret dhe hapat e këtij rreshti vlejnë kur moduli të rikthehet në scope.</s:t>
        </s:is>
      </s:c>
      <s:c r="AD133" s="55" t="inlineStr">
        <s:is>
          <s:t>Nuk u gjet implementim specifik; shiko kriterin dhe hapat në AA/AB.</s:t>
        </s:is>
      </s:c>
      <s:c r="AE133" s="42" t="inlineStr">
        <s:is>
          <s:t>Shtyrë nga scope-i aktual</s:t>
        </s:is>
      </s:c>
      <s:c r="AF133" s="42" t="inlineStr">
        <s:is>
          <s:t>Jo në scope-in posts-only</s:t>
        </s:is>
      </s:c>
      <s:c r="AG133" s="42" t="inlineStr">
        <s:is>
          <s:t>Jo tani</s:t>
        </s:is>
      </s:c>
      <s:c r="AH133" s="42" t="inlineStr">
        <s:is>
          <s:t>Jashtë scope-it aktual: strategy schema me objectives/audience/pillars/cadence/constraints/measurement; aktivizim versioni immutable dhe propozime AI me source/reason refs pa overwrite.</s:t>
        </s:is>
      </s:c>
      <s:c r="AI133" s="42" t="inlineStr">
        <s:is>
          <s:t>docs/backlog-code-handoff-2026-09-08.json#S6-A10</s:t>
        </s:is>
      </s:c>
      <s:c r="AJ133" s="42" t="inlineStr">
        <s:is>
          <s:t>Programmer A / review: Programmer B</s:t>
        </s:is>
      </s:c>
    </s:row>
    <s:row r="134" ht="155.1" customHeight="1" s="48">
      <s:c r="A134" s="17" t="inlineStr">
        <s:is>
          <s:t>S6-A11</s:t>
        </s:is>
      </s:c>
      <s:c r="B134" s="18" t="inlineStr">
        <s:is>
          <s:t>S6</s:t>
        </s:is>
      </s:c>
      <s:c r="C134" s="18" t="inlineStr">
        <s:is>
          <s:t>Campaigns</s:t>
        </s:is>
      </s:c>
      <s:c r="D134" s="12" t="inlineStr">
        <s:is>
          <s:t>Implement campaign domain and content-slot planning</s:t>
        </s:is>
      </s:c>
      <s:c r="E134" s="13" t="inlineStr">
        <s:is>
          <s:t>Create Campaign lifecycle, objectives, date window, offer/audience refs, strategy link and planned content slots before drafts exist.</s:t>
        </s:is>
      </s:c>
      <s:c r="F134" s="13" t="inlineStr">
        <s:is>
          <s:t>Lifecycle transitions tested; campaign dates timezone-safe; content slot can be filled/replaced without mutating published content.</s:t>
        </s:is>
      </s:c>
      <s:c r="G134" s="18" t="inlineStr">
        <s:is>
          <s:t>S6-A10,S3-A07</s:t>
        </s:is>
      </s:c>
      <s:c r="H134" s="18" t="inlineStr">
        <s:is>
          <s:t>P0</s:t>
        </s:is>
      </s:c>
      <s:c r="I134" s="18" t="inlineStr">
        <s:is>
          <s:t>Programmer A</s:t>
        </s:is>
      </s:c>
      <s:c r="J134" s="18" t="inlineStr">
        <s:is>
          <s:t>Programmer B</s:t>
        </s:is>
      </s:c>
      <s:c r="K134" s="18" t="n">
        <s:v>8</s:v>
      </s:c>
      <s:c r="L134" s="32" t="inlineStr">
        <s:is>
          <s:t>Deferred</s:t>
        </s:is>
      </s:c>
      <s:c r="M134" s="13" t="inlineStr">
        <s:is>
          <s:t>Unit + API + state-machine tests</s:t>
        </s:is>
      </s:c>
      <s:c r="N134" s="18" t="inlineStr">
        <s:is>
          <s:t>RG-15</s:t>
        </s:is>
      </s:c>
      <s:c r="O134" s="13" t="inlineStr">
        <s:is>
          <s:t>Offer refs must be verified; tenant scope enforced.</s:t>
        </s:is>
      </s:c>
      <s:c r="P134" s="18" t="inlineStr">
        <s:is>
          <s:t>campaign domain/API</s:t>
        </s:is>
      </s:c>
      <s:c r="Q134" s="14">
        <s:f>INDEX('01_ROADMAP'!$C$5:$C$15,MATCH(B134,'01_ROADMAP'!$A$5:$A$15,0))</s:f>
        <s:v>46356.0</s:v>
      </s:c>
      <s:c r="R134" s="14">
        <s:f>INDEX('01_ROADMAP'!$D$5:$D$15,MATCH(B134,'01_ROADMAP'!$A$5:$A$15,0))</s:f>
        <s:v>46369.0</s:v>
      </s:c>
      <s:c r="S134" s="29" t="inlineStr">
        <s:is>
          <s:t>docs/backlog-deep-audit-2026-09-07.json#S6-A11</s:t>
        </s:is>
      </s:c>
      <s:c r="T134" s="13" t="inlineStr">
        <s:is>
          <s:t>BACKEND</s:t>
        </s:is>
      </s:c>
      <s:c r="U134" s="13" t="inlineStr">
        <s:is>
          <s:t>Campaigns</s:t>
        </s:is>
      </s:c>
      <s:c r="V134" s="13" t="inlineStr">
        <s:is>
          <s:t>Deferred — posts scope</s:t>
        </s:is>
      </s:c>
      <s:c r="W134" s="13" t="inlineStr">
        <s:is>
          <s:t>Supports strategy -&gt; campaign -&gt; planned slots flow.</s:t>
        </s:is>
      </s:c>
      <s:c r="X134" s="13" t="inlineStr">
        <s:is>
          <s:t>Unit + API + state-machine tests</s:t>
        </s:is>
      </s:c>
      <s:c r="Y134" s="59" t="inlineStr">
        <s:is>
          <s:t>Shtyrë</s:t>
        </s:is>
      </s:c>
      <s:c r="Z134" s="56" t="inlineStr">
        <s:is>
          <s:t>Strategjia, fushatat, marketing learning dhe attribution janë shtyrë nga scope-i aktiv sipas kërkesës së përdoruesit.</s:t>
        </s:is>
      </s:c>
      <s:c r="AA134" s="56" t="inlineStr">
        <s:is>
          <s:t>1. Jashtë scope-it aktual: Campaign lifecycle me dates/offer/audience/strategy refs dhe content slots para krijimit të draftit; timezone guards dhe zëvendësim slot-i pa ndryshuar content published.</s:t>
        </s:is>
      </s:c>
      <s:c r="AB134" s="56" t="inlineStr">
        <s:is>
          <s:t>Prova e kërkuar nga backlog-u: Unit + API + state-machine tests
Kriteri për t'u verifikuar (nuk deklarohet i kaluar): Lifecycle transitions tested; campaign dates timezone-safe; content slot can be filled/replaced without mutating published content.
Pranimi kërkon edhe gate-et: RG-15. Asnjë gate nuk është shënuar Passed nga ky audit.</s:t>
        </s:is>
      </s:c>
      <s:c r="AC134" s="56" t="inlineStr">
        <s:is>
          <s:t>Shtyrë sipas scope-it; nuk është realizuar. Kriteret dhe hapat e këtij rreshti vlejnë kur moduli të rikthehet në scope.</s:t>
        </s:is>
      </s:c>
      <s:c r="AD134" s="56" t="inlineStr">
        <s:is>
          <s:t>Nuk u gjet implementim specifik; shiko kriterin dhe hapat në AA/AB.</s:t>
        </s:is>
      </s:c>
      <s:c r="AE134" s="42" t="inlineStr">
        <s:is>
          <s:t>Shtyrë nga scope-i aktual</s:t>
        </s:is>
      </s:c>
      <s:c r="AF134" s="42" t="inlineStr">
        <s:is>
          <s:t>Jo në scope-in posts-only</s:t>
        </s:is>
      </s:c>
      <s:c r="AG134" s="42" t="inlineStr">
        <s:is>
          <s:t>Jo tani</s:t>
        </s:is>
      </s:c>
      <s:c r="AH134" s="42" t="inlineStr">
        <s:is>
          <s:t>Jashtë scope-it aktual: Campaign lifecycle me dates/offer/audience/strategy refs dhe content slots para krijimit të draftit; timezone guards dhe zëvendësim slot-i pa ndryshuar content published.</s:t>
        </s:is>
      </s:c>
      <s:c r="AI134" s="42" t="inlineStr">
        <s:is>
          <s:t>docs/backlog-code-handoff-2026-09-08.json#S6-A11</s:t>
        </s:is>
      </s:c>
      <s:c r="AJ134" s="42" t="inlineStr">
        <s:is>
          <s:t>Programmer A / review: Programmer B</s:t>
        </s:is>
      </s:c>
    </s:row>
    <s:row r="135" ht="155.1" customHeight="1" s="48">
      <s:c r="A135" s="17" t="inlineStr">
        <s:is>
          <s:t>S6-A12</s:t>
        </s:is>
      </s:c>
      <s:c r="B135" s="18" t="inlineStr">
        <s:is>
          <s:t>S6</s:t>
        </s:is>
      </s:c>
      <s:c r="C135" s="18" t="inlineStr">
        <s:is>
          <s:t>AI Safety</s:t>
        </s:is>
      </s:c>
      <s:c r="D135" s="12" t="inlineStr">
        <s:is>
          <s:t>Create structured ContentPolicyEngine baseline</s:t>
        </s:is>
      </s:c>
      <s:c r="E135" s="13" t="inlineStr">
        <s:is>
          <s:t>Define policy decision PASS/WARN/BLOCK, reason codes, evidence refs, vertical pack, override capability and policy versions; run before approval/publish.</s:t>
        </s:is>
      </s:c>
      <s:c r="F135" s="13" t="inlineStr">
        <s:is>
          <s:t>All blocking fixtures fail closed; decision persisted with policy version; allowed override requires capability + reason + audit.</s:t>
        </s:is>
      </s:c>
      <s:c r="G135" s="18" t="inlineStr">
        <s:is>
          <s:t>S3-A08,S4-A01</s:t>
        </s:is>
      </s:c>
      <s:c r="H135" s="18" t="inlineStr">
        <s:is>
          <s:t>P0</s:t>
        </s:is>
      </s:c>
      <s:c r="I135" s="18" t="inlineStr">
        <s:is>
          <s:t>Programmer A</s:t>
        </s:is>
      </s:c>
      <s:c r="J135" s="18" t="inlineStr">
        <s:is>
          <s:t>Programmer B</s:t>
        </s:is>
      </s:c>
      <s:c r="K135" s="18" t="n">
        <s:v>8</s:v>
      </s:c>
      <s:c r="L135" s="28" t="inlineStr">
        <s:is>
          <s:t>In Progress</s:t>
        </s:is>
      </s:c>
      <s:c r="M135" s="13" t="inlineStr">
        <s:is>
          <s:t>Policy unit + golden fixtures</s:t>
        </s:is>
      </s:c>
      <s:c r="N135" s="18" t="inlineStr">
        <s:is>
          <s:t>RG-16</s:t>
        </s:is>
      </s:c>
      <s:c r="O135" s="13" t="inlineStr">
        <s:is>
          <s:t>Factuality, regulated claims, testimonials, defamation, sensitive targeting, rights.</s:t>
        </s:is>
      </s:c>
      <s:c r="P135" s="18" t="inlineStr">
        <s:is>
          <s:t>policy engine v1</s:t>
        </s:is>
      </s:c>
      <s:c r="Q135" s="14">
        <s:f>INDEX('01_ROADMAP'!$C$5:$C$15,MATCH(B135,'01_ROADMAP'!$A$5:$A$15,0))</s:f>
        <s:v>46356.0</s:v>
      </s:c>
      <s:c r="R135" s="14">
        <s:f>INDEX('01_ROADMAP'!$D$5:$D$15,MATCH(B135,'01_ROADMAP'!$A$5:$A$15,0))</s:f>
        <s:v>46369.0</s:v>
      </s:c>
      <s:c r="S135" s="29" t="inlineStr">
        <s:is>
          <s:t>docs/backlog-deep-audit-2026-09-07.json#S6-A12</s:t>
        </s:is>
      </s:c>
      <s:c r="T135" s="13" t="inlineStr">
        <s:is>
          <s:t>AI/SECURITY</s:t>
        </s:is>
      </s:c>
      <s:c r="U135" s="13" t="inlineStr">
        <s:is>
          <s:t>Content Studio</s:t>
        </s:is>
      </s:c>
      <s:c r="V135" s="13" t="inlineStr">
        <s:is>
          <s:t>GA</s:t>
        </s:is>
      </s:c>
      <s:c r="W135" s="13" t="inlineStr">
        <s:is>
          <s:t>Review UI receives actionable reason codes.</s:t>
        </s:is>
      </s:c>
      <s:c r="X135" s="13" t="inlineStr">
        <s:is>
          <s:t>Policy unit + golden fixtures</s:t>
        </s:is>
      </s:c>
      <s:c r="Y135" s="54" t="inlineStr">
        <s:is>
          <s:t>Pjesërisht</s:t>
        </s:is>
      </s:c>
      <s:c r="Z135" s="55" t="inlineStr">
        <s:is>
          <s:t>Kontrolle të ruajtura content/publication për caption/placeholders/rights/image/format/IG dhe PASS/BLOCK; Meta ndahet nga miratimi.</s:t>
        </s:is>
      </s:c>
      <s:c r="AA135" s="55" t="inlineStr">
        <s:is>
          <s:t>1. Mungojnë policy versions, vertical packs, reason-code/evidence contract, override capability/reason/audit dhe golden fixtures.</s:t>
        </s:is>
      </s:c>
      <s:c r="AB135" s="55" t="inlineStr">
        <s:is>
          <s:t>Prova e kërkuar nga backlog-u: Policy unit + golden fixtures
Kriteri për t'u verifikuar (nuk deklarohet i kaluar): All blocking fixtures fail closed; decision persisted with policy version; allowed override requires capability + reason + audit.
Pranimi kërkon edhe gate-et: RG-16. Asnjë gate nuk është shënuar Passed nga ky audit.</s:t>
        </s:is>
      </s:c>
      <s:c r="AC135" s="55" t="inlineStr">
        <s:is>
          <s:t>U rishikuan kodi/artefaktet dhe u kërkua implementimi i kësaj detyre. Nuk ka provë të ekzekutuar specifike që mbyll të gjithë kriterin; kontrollet globale nuk e zëvendësojnë atë.</s:t>
        </s:is>
      </s:c>
      <s:c r="AD135" s="55" t="inlineStr">
        <s:is>
          <s:t>apps/web/server/utils/post-validation.ts
apps/web/server/api/posts/[id]/validate.post.ts
apps/web/tests/integration/server.test.ts</s:t>
        </s:is>
      </s:c>
      <s:c r="AE135" s="42" t="inlineStr">
        <s:is>
          <s:t>Pjesërisht — kërkon zhvillim</s:t>
        </s:is>
      </s:c>
      <s:c r="AF135" s="42" t="inlineStr">
        <s:is>
          <s:t>Po</s:t>
        </s:is>
      </s:c>
      <s:c r="AG135" s="42" t="inlineStr">
        <s:is>
          <s:t>Po, pas implementimit</s:t>
        </s:is>
      </s:c>
      <s:c r="AH135" s="42" t="inlineStr">
        <s:is>
          <s:t>Mungojnë policy versions, vertical packs, reason-code/evidence contract, override capability/reason/audit dhe golden fixtures.</s:t>
        </s:is>
      </s:c>
      <s:c r="AI135" s="42" t="inlineStr">
        <s:is>
          <s:t>docs/backlog-code-handoff-2026-09-08.json#S6-A12</s:t>
        </s:is>
      </s:c>
      <s:c r="AJ135" s="42" t="inlineStr">
        <s:is>
          <s:t>Programmer A / review: Programmer B</s:t>
        </s:is>
      </s:c>
    </s:row>
    <s:row r="136" ht="180" customHeight="1" s="48">
      <s:c r="A136" s="17" t="inlineStr">
        <s:is>
          <s:t>S6-A13</s:t>
        </s:is>
      </s:c>
      <s:c r="B136" s="18" t="inlineStr">
        <s:is>
          <s:t>S6</s:t>
        </s:is>
      </s:c>
      <s:c r="C136" s="18" t="inlineStr">
        <s:is>
          <s:t>AI Cost Control</s:t>
        </s:is>
      </s:c>
      <s:c r="D136" s="12" t="inlineStr">
        <s:is>
          <s:t>Implement AI monetary/credit budget guardrails</s:t>
        </s:is>
      </s:c>
      <s:c r="E136" s="13" t="inlineStr">
        <s:is>
          <s:t>Add estimate/reserve/commit/release around AI jobs, org soft/hard budget, model capability cost metadata, anomaly counters and server-authoritative kill switch.</s:t>
        </s:is>
      </s:c>
      <s:c r="F136" s="13" t="inlineStr">
        <s:is>
          <s:t>Concurrent requests cannot exceed hard budget beyond bounded reservation tolerance; kill switch blocks new expensive jobs but preserves saved work.</s:t>
        </s:is>
      </s:c>
      <s:c r="G136" s="18" t="inlineStr">
        <s:is>
          <s:t>S5-A07,S3-A01</s:t>
        </s:is>
      </s:c>
      <s:c r="H136" s="18" t="inlineStr">
        <s:is>
          <s:t>P0</s:t>
        </s:is>
      </s:c>
      <s:c r="I136" s="18" t="inlineStr">
        <s:is>
          <s:t>Programmer A</s:t>
        </s:is>
      </s:c>
      <s:c r="J136" s="18" t="inlineStr">
        <s:is>
          <s:t>Programmer B</s:t>
        </s:is>
      </s:c>
      <s:c r="K136" s="18" t="n">
        <s:v>7</s:v>
      </s:c>
      <s:c r="L136" s="28" t="inlineStr">
        <s:is>
          <s:t>In Progress</s:t>
        </s:is>
      </s:c>
      <s:c r="M136" s="13" t="inlineStr">
        <s:is>
          <s:t>Concurrency + fault tests</s:t>
        </s:is>
      </s:c>
      <s:c r="N136" s="18" t="inlineStr">
        <s:is>
          <s:t>RG-18</s:t>
        </s:is>
      </s:c>
      <s:c r="O136" s="13" t="inlineStr">
        <s:is>
          <s:t>Never expose provider secrets; audit budget overrides.</s:t>
        </s:is>
      </s:c>
      <s:c r="P136" s="18" t="inlineStr">
        <s:is>
          <s:t>cost guardrail service</s:t>
        </s:is>
      </s:c>
      <s:c r="Q136" s="14">
        <s:f>INDEX('01_ROADMAP'!$C$5:$C$15,MATCH(B136,'01_ROADMAP'!$A$5:$A$15,0))</s:f>
        <s:v>46356.0</s:v>
      </s:c>
      <s:c r="R136" s="14">
        <s:f>INDEX('01_ROADMAP'!$D$5:$D$15,MATCH(B136,'01_ROADMAP'!$A$5:$A$15,0))</s:f>
        <s:v>46369.0</s:v>
      </s:c>
      <s:c r="S136" s="29" t="inlineStr">
        <s:is>
          <s:t>docs/backlog-partial-progress-2026-09-08.json#S6-A13</s:t>
        </s:is>
      </s:c>
      <s:c r="T136" s="13" t="inlineStr">
        <s:is>
          <s:t>AI/BILLING</s:t>
        </s:is>
      </s:c>
      <s:c r="U136" s="13" t="inlineStr">
        <s:is>
          <s:t>AI Platform</s:t>
        </s:is>
      </s:c>
      <s:c r="V136" s="13" t="inlineStr">
        <s:is>
          <s:t>GA</s:t>
        </s:is>
      </s:c>
      <s:c r="W136" s="13" t="inlineStr">
        <s:is>
          <s:t>User gets plan-friendly quota message; admin gets cost context.</s:t>
        </s:is>
      </s:c>
      <s:c r="X136" s="13" t="inlineStr">
        <s:is>
          <s:t>Concurrency + fault tests</s:t>
        </s:is>
      </s:c>
      <s:c r="Y136" s="54" t="inlineStr">
        <s:is>
          <s:t>Pjesërisht</s:t>
        </s:is>
      </s:c>
      <s:c r="Z136" s="56" t="inlineStr">
        <s:is>
          <s:t>AI cost ledger rezervon buxhetin para provider call, commit-on-success, release-on-failure dhe kill switch përmes konfigurimit. Çmimet dhe hard daily budget janë server-side dhe readiness e capability dështon mbyllur kur mungojnë.</s:t>
        </s:is>
      </s:c>
      <s:c r="AA136" s="56" t="inlineStr">
        <s:is>
          <s:t>Mbeten synthetic concurrent load, anomaly alerts/operator recovery, stuck-reservation reconciliation dhe envelope komercial i aprovuar; RG-18 mbetet i hapur.</s:t>
        </s:is>
      </s:c>
      <s:c r="AB136" s="56" t="inlineStr">
        <s:is>
          <s:t>Prova e kërkuar nga backlog-u: Concurrency + fault tests
Kriteri për t'u verifikuar (nuk deklarohet i kaluar): Concurrent requests cannot exceed hard budget beyond bounded reservation tolerance; kill switch blocks new expensive jobs but preserves saved work.
DA-12: Kërkesa paralele, provider timeout/error/duplicate, release vetëm një herë dhe ndalim para tejkalimit të buxhetit; replay i kostove për secilin plan.
Pranimi kërkon edhe gate-et: RG-18. Asnjë gate nuk është shënuar Passed nga ky audit.</s:t>
        </s:is>
      </s:c>
      <s:c r="AC136" s="56" t="inlineStr">
        <s:is>
          <s:t>Cost calculation/unique reservation integration test, DB constraints, lint dhe server types kaluan.</s:t>
        </s:is>
      </s:c>
      <s:c r="AD136" s="56" t="inlineStr">
        <s:is>
          <s:t>apps/web/database/migrations/0013_ai_cost_ledger.sql
apps/web/server/utils/ai-costs.ts
apps/web/server/api/ai/captions.post.ts
.env.example</s:t>
        </s:is>
      </s:c>
      <s:c r="AE136" s="42" t="inlineStr">
        <s:is>
          <s:t>Pjesërisht — kërkon zhvillim</s:t>
        </s:is>
      </s:c>
      <s:c r="AF136" s="42" t="inlineStr">
        <s:is>
          <s:t>Po</s:t>
        </s:is>
      </s:c>
      <s:c r="AG136" s="42" t="inlineStr">
        <s:is>
          <s:t>Po — përzier me punë të jashtme</s:t>
        </s:is>
      </s:c>
      <s:c r="AH136" s="42" t="inlineStr">
        <s:is>
          <s:t>Mbeten synthetic concurrent load, anomaly alerts/operator recovery, stuck-reservation reconciliation dhe envelope komercial i aprovuar; RG-18 mbetet i hapur.</s:t>
        </s:is>
      </s:c>
      <s:c r="AI136" s="42" t="inlineStr">
        <s:is>
          <s:t>docs/backlog-code-handoff-2026-09-08.json#S6-A13</s:t>
        </s:is>
      </s:c>
      <s:c r="AJ136" s="42" t="inlineStr">
        <s:is>
          <s:t>Programmer A / review: Programmer B</s:t>
        </s:is>
      </s:c>
    </s:row>
    <s:row r="137" ht="155.1" customHeight="1" s="48">
      <s:c r="A137" s="17" t="inlineStr">
        <s:is>
          <s:t>S7-A11</s:t>
        </s:is>
      </s:c>
      <s:c r="B137" s="18" t="inlineStr">
        <s:is>
          <s:t>S7</s:t>
        </s:is>
      </s:c>
      <s:c r="C137" s="18" t="inlineStr">
        <s:is>
          <s:t>Feature Flags</s:t>
        </s:is>
      </s:c>
      <s:c r="D137" s="12" t="inlineStr">
        <s:is>
          <s:t>Implement server-authoritative feature flag service</s:t>
        </s:is>
      </s:c>
      <s:c r="E137" s="13" t="inlineStr">
        <s:is>
          <s:t>Create release/experiment/kill-switch flags with owner, scope, cohort, expiry/review date and audit; expose evaluated typed flags to frontend.</s:t>
        </s:is>
      </s:c>
      <s:c r="F137" s="13" t="inlineStr">
        <s:is>
          <s:t>Unknown flag fails to configured safe default; client cannot enable server-restricted feature; expired flags surfaced to admin.</s:t>
        </s:is>
      </s:c>
      <s:c r="G137" s="18" t="inlineStr">
        <s:is>
          <s:t>S1-A03,S1-A07</s:t>
        </s:is>
      </s:c>
      <s:c r="H137" s="18" t="inlineStr">
        <s:is>
          <s:t>P1</s:t>
        </s:is>
      </s:c>
      <s:c r="I137" s="18" t="inlineStr">
        <s:is>
          <s:t>Programmer A</s:t>
        </s:is>
      </s:c>
      <s:c r="J137" s="18" t="inlineStr">
        <s:is>
          <s:t>Programmer B</s:t>
        </s:is>
      </s:c>
      <s:c r="K137" s="18" t="n">
        <s:v>5</s:v>
      </s:c>
      <s:c r="L137" s="28" t="inlineStr">
        <s:is>
          <s:t>In Progress</s:t>
        </s:is>
      </s:c>
      <s:c r="M137" s="13" t="inlineStr">
        <s:is>
          <s:t>Unit + authz tests</s:t>
        </s:is>
      </s:c>
      <s:c r="N137" s="18" t="inlineStr">
        <s:is>
          <s:t>RG-18</s:t>
        </s:is>
      </s:c>
      <s:c r="O137" s="13" t="inlineStr">
        <s:is>
          <s:t>No auth/security bypass through client flag.</s:t>
        </s:is>
      </s:c>
      <s:c r="P137" s="18" t="inlineStr">
        <s:is>
          <s:t>feature flag service</s:t>
        </s:is>
      </s:c>
      <s:c r="Q137" s="14">
        <s:f>INDEX('01_ROADMAP'!$C$5:$C$15,MATCH(B137,'01_ROADMAP'!$A$5:$A$15,0))</s:f>
        <s:v>46370.0</s:v>
      </s:c>
      <s:c r="R137" s="14">
        <s:f>INDEX('01_ROADMAP'!$D$5:$D$15,MATCH(B137,'01_ROADMAP'!$A$5:$A$15,0))</s:f>
        <s:v>46383.0</s:v>
      </s:c>
      <s:c r="S137" s="29" t="inlineStr">
        <s:is>
          <s:t>docs/backlog-deep-audit-2026-09-07.json#S7-A11</s:t>
        </s:is>
      </s:c>
      <s:c r="T137" s="13" t="inlineStr">
        <s:is>
          <s:t>BACKEND</s:t>
        </s:is>
      </s:c>
      <s:c r="U137" s="13" t="inlineStr">
        <s:is>
          <s:t>Platform</s:t>
        </s:is>
      </s:c>
      <s:c r="V137" s="13" t="inlineStr">
        <s:is>
          <s:t>GA</s:t>
        </s:is>
      </s:c>
      <s:c r="W137" s="13" t="inlineStr">
        <s:is>
          <s:t>Frontend useFeatureFlag only reads evaluated result.</s:t>
        </s:is>
      </s:c>
      <s:c r="X137" s="13" t="inlineStr">
        <s:is>
          <s:t>Unit + authz tests</s:t>
        </s:is>
      </s:c>
      <s:c r="Y137" s="54" t="inlineStr">
        <s:is>
          <s:t>Pjesërisht</s:t>
        </s:is>
      </s:c>
      <s:c r="Z137" s="55" t="inlineStr">
        <s:is>
          <s:t>Server /api/capabilities lexon konfigurimin e provider-ëve; klienti nuk mund të aktivizojë worker/AI pa env.</s:t>
        </s:is>
      </s:c>
      <s:c r="AA137" s="55" t="inlineStr">
        <s:is>
          <s:t>1. Nuk ka feature-flag service me cohort/owner/expiry/audit/kill-switch administration apo typed evaluated flag tests.</s:t>
        </s:is>
      </s:c>
      <s:c r="AB137" s="55" t="inlineStr">
        <s:is>
          <s:t>Prova e kërkuar nga backlog-u: Unit + authz tests
Kriteri për t'u verifikuar (nuk deklarohet i kaluar): Unknown flag fails to configured safe default; client cannot enable server-restricted feature; expired flags surfaced to admin.
Pranimi kërkon edhe gate-et: RG-18. Asnjë gate nuk është shënuar Passed nga ky audit.</s:t>
        </s:is>
      </s:c>
      <s:c r="AC137" s="55" t="inlineStr">
        <s:is>
          <s:t>U rishikuan kodi/artefaktet dhe u kërkua implementimi i kësaj detyre. Nuk ka provë të ekzekutuar specifike që mbyll të gjithë kriterin; kontrollet globale nuk e zëvendësojnë atë.</s:t>
        </s:is>
      </s:c>
      <s:c r="AD137" s="55" t="inlineStr">
        <s:is>
          <s:t>apps/web/server/api/capabilities.get.ts
apps/web/server/plugins/publisher.ts</s:t>
        </s:is>
      </s:c>
      <s:c r="AE137" s="42" t="inlineStr">
        <s:is>
          <s:t>Pjesërisht — kërkon zhvillim</s:t>
        </s:is>
      </s:c>
      <s:c r="AF137" s="42" t="inlineStr">
        <s:is>
          <s:t>Po</s:t>
        </s:is>
      </s:c>
      <s:c r="AG137" s="42" t="inlineStr">
        <s:is>
          <s:t>Po — përzier me punë të jashtme</s:t>
        </s:is>
      </s:c>
      <s:c r="AH137" s="42" t="inlineStr">
        <s:is>
          <s:t>Nuk ka feature-flag service me cohort/owner/expiry/audit/kill-switch administration apo typed evaluated flag tests.</s:t>
        </s:is>
      </s:c>
      <s:c r="AI137" s="42" t="inlineStr">
        <s:is>
          <s:t>docs/backlog-code-handoff-2026-09-08.json#S7-A11</s:t>
        </s:is>
      </s:c>
      <s:c r="AJ137" s="42" t="inlineStr">
        <s:is>
          <s:t>Programmer A / review: Programmer B</s:t>
        </s:is>
      </s:c>
    </s:row>
    <s:row r="138" ht="155.1" customHeight="1" s="48">
      <s:c r="A138" s="17" t="inlineStr">
        <s:is>
          <s:t>S6-B10</s:t>
        </s:is>
      </s:c>
      <s:c r="B138" s="18" t="inlineStr">
        <s:is>
          <s:t>S6</s:t>
        </s:is>
      </s:c>
      <s:c r="C138" s="18" t="inlineStr">
        <s:is>
          <s:t>Marketing HQ</s:t>
        </s:is>
      </s:c>
      <s:c r="D138" s="12" t="inlineStr">
        <s:is>
          <s:t>Build actionable default dashboard / Marketing HQ</s:t>
        </s:is>
      </s:c>
      <s:c r="E138" s="13" t="inlineStr">
        <s:is>
          <s:t>Build a clean posts-focused Nuxt UI overview with real counts, approval/failure next actions, collapsed upcoming-post lists and quick-create. Show detailed posts only after an explicit view action. Strategy/campaign planning and standalone performance analytics are deferred.</s:t>
        </s:is>
      </s:c>
      <s:c r="F138" s="13" t="inlineStr">
        <s:is>
          <s:t>Above-the-fold content prioritizes useful actions; post details are collapsed initially; data is real and empty/error states truthful. Quick-create/approve/calendar/manual planning work without Meta. Mobile navigation, accessibility, visual and performance/UAT evidence are required.</s:t>
        </s:is>
      </s:c>
      <s:c r="G138" s="18" t="inlineStr">
        <s:is>
          <s:t>S4-B05,S5-B01,S6-A10</s:t>
        </s:is>
      </s:c>
      <s:c r="H138" s="18" t="inlineStr">
        <s:is>
          <s:t>P0</s:t>
        </s:is>
      </s:c>
      <s:c r="I138" s="18" t="inlineStr">
        <s:is>
          <s:t>Programmer B</s:t>
        </s:is>
      </s:c>
      <s:c r="J138" s="18" t="inlineStr">
        <s:is>
          <s:t>Programmer A</s:t>
        </s:is>
      </s:c>
      <s:c r="K138" s="18" t="n">
        <s:v>9</s:v>
      </s:c>
      <s:c r="L138" s="31" t="inlineStr">
        <s:is>
          <s:t>In Review</s:t>
        </s:is>
      </s:c>
      <s:c r="M138" s="13" t="inlineStr">
        <s:is>
          <s:t>Playwright + a11y + visual</s:t>
        </s:is>
      </s:c>
      <s:c r="N138" s="18" t="inlineStr">
        <s:is>
          <s:t>RG-17</s:t>
        </s:is>
      </s:c>
      <s:c r="O138" s="13" t="inlineStr">
        <s:is>
          <s:t>No metric shown without definition/source window.</s:t>
        </s:is>
      </s:c>
      <s:c r="P138" s="18" t="inlineStr">
        <s:is>
          <s:t>Marketing HQ page</s:t>
        </s:is>
      </s:c>
      <s:c r="Q138" s="14">
        <s:f>INDEX('01_ROADMAP'!$C$5:$C$15,MATCH(B138,'01_ROADMAP'!$A$5:$A$15,0))</s:f>
        <s:v>46356.0</s:v>
      </s:c>
      <s:c r="R138" s="14">
        <s:f>INDEX('01_ROADMAP'!$D$5:$D$15,MATCH(B138,'01_ROADMAP'!$A$5:$A$15,0))</s:f>
        <s:v>46369.0</s:v>
      </s:c>
      <s:c r="S138" s="29" t="inlineStr">
        <s:is>
          <s:t>docs/backlog-deep-audit-2026-09-07.json#S6-B10</s:t>
        </s:is>
      </s:c>
      <s:c r="T138" s="13" t="inlineStr">
        <s:is>
          <s:t>FRONTEND</s:t>
        </s:is>
      </s:c>
      <s:c r="U138" s="13" t="inlineStr">
        <s:is>
          <s:t>Dashboard</s:t>
        </s:is>
      </s:c>
      <s:c r="V138" s="13" t="inlineStr">
        <s:is>
          <s:t>GA</s:t>
        </s:is>
      </s:c>
      <s:c r="W138" s="13" t="inlineStr">
        <s:is>
          <s:t>DashboardGroup/Card/Badge/Progress/Drawer; purposeful motion only.</s:t>
        </s:is>
      </s:c>
      <s:c r="X138" s="13" t="inlineStr">
        <s:is>
          <s:t>Playwright + a11y + visual</s:t>
        </s:is>
      </s:c>
      <s:c r="Y138" s="58" t="inlineStr">
        <s:is>
          <s:t>Implementuar — në pranim</s:t>
        </s:is>
      </s:c>
      <s:c r="Z138" s="56" t="inlineStr">
        <s:is>
          <s:t>Overview i pastër me next actions, counts reale dhe lista postimesh që hapen me veprim; quick-create dhe kalendar.</s:t>
        </s:is>
      </s:c>
      <s:c r="AA138" s="56" t="inlineStr">
        <s:is>
          <s:t>1. Scope aktual heq campaigns/performance vanity metrics. Mbetet UAT/a11y/visual/performance review dhe RG-17.</s:t>
        </s:is>
      </s:c>
      <s:c r="AB138" s="56" t="inlineStr">
        <s:is>
          <s:t>Prova e kërkuar nga backlog-u: Playwright + a11y + visual
Kriteri për t'u verifikuar (nuk deklarohet i kaluar): Above-the-fold content prioritizes useful actions; post details are collapsed initially; data is real and empty/error states truthful. Quick-create/approve/calendar/manual planning work without Meta. Mobile navigation, accessibility, visual and performance/UAT evidence are required.
Pranimi kërkon edhe gate-et: RG-17. Asnjë gate nuk është shënuar Passed nga ky audit.</s:t>
        </s:is>
      </s:c>
      <s:c r="AC138" s="56" t="inlineStr">
        <s:is>
          <s:t>hq-deep-audit-live-e2e-rerun.log: 4/4. Business/media/validation/revision conflict dhe pagination 13 postime; axe dhe overflow në overview/content/gallery/calendar/social-posts/billing/settings-security, 1440px/390px Chromium. Nuk është Firefox/WebKit/real-device/fault/UAT matrix.</s:t>
        </s:is>
      </s:c>
      <s:c r="AD138" s="56" t="inlineStr">
        <s:is>
          <s:t>apps/web/app/pages/app/[org]/[brand]/overview.vue
apps/web/app/layouts/dashboard.vue</s:t>
        </s:is>
      </s:c>
      <s:c r="AE138" s="42" t="inlineStr">
        <s:is>
          <s:t>Kryer në kod — pret pranim/gate</s:t>
        </s:is>
      </s:c>
      <s:c r="AF138" s="42" t="inlineStr">
        <s:is>
          <s:t>Jo për scope-in e rreshtit</s:t>
        </s:is>
      </s:c>
      <s:c r="AG138" s="42" t="inlineStr">
        <s:is>
          <s:t>Po</s:t>
        </s:is>
      </s:c>
      <s:c r="AH138" s="42" t="inlineStr">
        <s:is>
          <s:t>Scope aktual heq campaigns/performance vanity metrics. Mbetet UAT/a11y/visual/performance review dhe RG-17.</s:t>
        </s:is>
      </s:c>
      <s:c r="AI138" s="42" t="inlineStr">
        <s:is>
          <s:t>docs/backlog-code-handoff-2026-09-08.json#S6-B10</s:t>
        </s:is>
      </s:c>
      <s:c r="AJ138" s="42" t="inlineStr">
        <s:is>
          <s:t>Programmer B / review: Programmer A</s:t>
        </s:is>
      </s:c>
    </s:row>
    <s:row r="139" ht="155.1" customHeight="1" s="48">
      <s:c r="A139" s="17" t="inlineStr">
        <s:is>
          <s:t>S6-B11</s:t>
        </s:is>
      </s:c>
      <s:c r="B139" s="18" t="inlineStr">
        <s:is>
          <s:t>S6</s:t>
        </s:is>
      </s:c>
      <s:c r="C139" s="18" t="inlineStr">
        <s:is>
          <s:t>Strategy UX</s:t>
        </s:is>
      </s:c>
      <s:c r="D139" s="12" t="inlineStr">
        <s:is>
          <s:t>Build AI Strategy Center</s:t>
        </s:is>
      </s:c>
      <s:c r="E139" s="13" t="inlineStr">
        <s:is>
          <s:t>Build strategy page to review objectives/audiences/pillars/cadence, compare revisions, edit sections, regenerate a section, activate a version and create campaign.</s:t>
        </s:is>
      </s:c>
      <s:c r="F139" s="13" t="inlineStr">
        <s:is>
          <s:t>No silent overwrite; active version clearly identified; regenerate shows changed scope; mobile usable.</s:t>
        </s:is>
      </s:c>
      <s:c r="G139" s="18" t="inlineStr">
        <s:is>
          <s:t>S6-A10</s:t>
        </s:is>
      </s:c>
      <s:c r="H139" s="18" t="inlineStr">
        <s:is>
          <s:t>P0</s:t>
        </s:is>
      </s:c>
      <s:c r="I139" s="18" t="inlineStr">
        <s:is>
          <s:t>Programmer B</s:t>
        </s:is>
      </s:c>
      <s:c r="J139" s="18" t="inlineStr">
        <s:is>
          <s:t>Programmer A</s:t>
        </s:is>
      </s:c>
      <s:c r="K139" s="18" t="n">
        <s:v>8</s:v>
      </s:c>
      <s:c r="L139" s="32" t="inlineStr">
        <s:is>
          <s:t>Deferred</s:t>
        </s:is>
      </s:c>
      <s:c r="M139" s="13" t="inlineStr">
        <s:is>
          <s:t>E2E + component tests</s:t>
        </s:is>
      </s:c>
      <s:c r="N139" s="18" t="inlineStr">
        <s:is>
          <s:t>RG-15,RG-17</s:t>
        </s:is>
      </s:c>
      <s:c r="O139" s="13" t="inlineStr">
        <s:is>
          <s:t>Sensitive audience fields display policy warnings.</s:t>
        </s:is>
      </s:c>
      <s:c r="P139" s="18" t="inlineStr">
        <s:is>
          <s:t>strategy workspace</s:t>
        </s:is>
      </s:c>
      <s:c r="Q139" s="14">
        <s:f>INDEX('01_ROADMAP'!$C$5:$C$15,MATCH(B139,'01_ROADMAP'!$A$5:$A$15,0))</s:f>
        <s:v>46356.0</s:v>
      </s:c>
      <s:c r="R139" s="14">
        <s:f>INDEX('01_ROADMAP'!$D$5:$D$15,MATCH(B139,'01_ROADMAP'!$A$5:$A$15,0))</s:f>
        <s:v>46369.0</s:v>
      </s:c>
      <s:c r="S139" s="29" t="inlineStr">
        <s:is>
          <s:t>docs/backlog-deep-audit-2026-09-07.json#S6-B11</s:t>
        </s:is>
      </s:c>
      <s:c r="T139" s="13" t="inlineStr">
        <s:is>
          <s:t>FRONTEND</s:t>
        </s:is>
      </s:c>
      <s:c r="U139" s="13" t="inlineStr">
        <s:is>
          <s:t>Strategy</s:t>
        </s:is>
      </s:c>
      <s:c r="V139" s="13" t="inlineStr">
        <s:is>
          <s:t>Deferred — posts scope</s:t>
        </s:is>
      </s:c>
      <s:c r="W139" s="13" t="inlineStr">
        <s:is>
          <s:t>Tabs/Card/Editor/Slideover/Modal; autosave drafts.</s:t>
        </s:is>
      </s:c>
      <s:c r="X139" s="13" t="inlineStr">
        <s:is>
          <s:t>E2E + component tests</s:t>
        </s:is>
      </s:c>
      <s:c r="Y139" s="59" t="inlineStr">
        <s:is>
          <s:t>Shtyrë</s:t>
        </s:is>
      </s:c>
      <s:c r="Z139" s="55" t="inlineStr">
        <s:is>
          <s:t>Strategjia, fushatat, marketing learning dhe attribution janë shtyrë nga scope-i aktiv sipas kërkesës së përdoruesit.</s:t>
        </s:is>
      </s:c>
      <s:c r="AA139" s="55" t="inlineStr">
        <s:is>
          <s:t>1. Jashtë scope-it aktual: faqe strategy me review/compare/edit/regenerate-section/activate-version; ndryshimet duhet të tregojnë scope-in dhe versionin aktiv pa overwrite të heshtur.</s:t>
        </s:is>
      </s:c>
      <s:c r="AB139" s="55" t="inlineStr">
        <s:is>
          <s:t>Prova e kërkuar nga backlog-u: E2E + component tests
Kriteri për t'u verifikuar (nuk deklarohet i kaluar): No silent overwrite; active version clearly identified; regenerate shows changed scope; mobile usable.
Pranimi kërkon edhe gate-et: RG-15,RG-17. Asnjë gate nuk është shënuar Passed nga ky audit.</s:t>
        </s:is>
      </s:c>
      <s:c r="AC139" s="55" t="inlineStr">
        <s:is>
          <s:t>Shtyrë sipas scope-it; nuk është realizuar. Kriteret dhe hapat e këtij rreshti vlejnë kur moduli të rikthehet në scope.</s:t>
        </s:is>
      </s:c>
      <s:c r="AD139" s="55" t="inlineStr">
        <s:is>
          <s:t>Nuk u gjet implementim specifik; shiko kriterin dhe hapat në AA/AB.</s:t>
        </s:is>
      </s:c>
      <s:c r="AE139" s="42" t="inlineStr">
        <s:is>
          <s:t>Shtyrë nga scope-i aktual</s:t>
        </s:is>
      </s:c>
      <s:c r="AF139" s="42" t="inlineStr">
        <s:is>
          <s:t>Jo në scope-in posts-only</s:t>
        </s:is>
      </s:c>
      <s:c r="AG139" s="42" t="inlineStr">
        <s:is>
          <s:t>Jo tani</s:t>
        </s:is>
      </s:c>
      <s:c r="AH139" s="42" t="inlineStr">
        <s:is>
          <s:t>Jashtë scope-it aktual: faqe strategy me review/compare/edit/regenerate-section/activate-version; ndryshimet duhet të tregojnë scope-in dhe versionin aktiv pa overwrite të heshtur.</s:t>
        </s:is>
      </s:c>
      <s:c r="AI139" s="42" t="inlineStr">
        <s:is>
          <s:t>docs/backlog-code-handoff-2026-09-08.json#S6-B11</s:t>
        </s:is>
      </s:c>
      <s:c r="AJ139" s="42" t="inlineStr">
        <s:is>
          <s:t>Programmer B / review: Programmer A</s:t>
        </s:is>
      </s:c>
    </s:row>
    <s:row r="140" ht="155.1" customHeight="1" s="48">
      <s:c r="A140" s="17" t="inlineStr">
        <s:is>
          <s:t>S6-B12</s:t>
        </s:is>
      </s:c>
      <s:c r="B140" s="18" t="inlineStr">
        <s:is>
          <s:t>S6</s:t>
        </s:is>
      </s:c>
      <s:c r="C140" s="18" t="inlineStr">
        <s:is>
          <s:t>Campaigns UX</s:t>
        </s:is>
      </s:c>
      <s:c r="D140" s="12" t="inlineStr">
        <s:is>
          <s:t>Build campaign workspace</s:t>
        </s:is>
      </s:c>
      <s:c r="E140" s="13" t="inlineStr">
        <s:is>
          <s:t>Create campaign list/detail with objective/date/offer/audience, content-slot timeline, missing-assets warnings, create-content actions and campaign progress.</s:t>
        </s:is>
      </s:c>
      <s:c r="F140" s="13" t="inlineStr">
        <s:is>
          <s:t>Campaign can be planned before content exists; status and missing slots clear; invalid offer/date blocked with typed error.</s:t>
        </s:is>
      </s:c>
      <s:c r="G140" s="18" t="inlineStr">
        <s:is>
          <s:t>S6-A11</s:t>
        </s:is>
      </s:c>
      <s:c r="H140" s="18" t="inlineStr">
        <s:is>
          <s:t>P0</s:t>
        </s:is>
      </s:c>
      <s:c r="I140" s="18" t="inlineStr">
        <s:is>
          <s:t>Programmer B</s:t>
        </s:is>
      </s:c>
      <s:c r="J140" s="18" t="inlineStr">
        <s:is>
          <s:t>Programmer A</s:t>
        </s:is>
      </s:c>
      <s:c r="K140" s="18" t="n">
        <s:v>8</s:v>
      </s:c>
      <s:c r="L140" s="32" t="inlineStr">
        <s:is>
          <s:t>Deferred</s:t>
        </s:is>
      </s:c>
      <s:c r="M140" s="13" t="inlineStr">
        <s:is>
          <s:t>E2E + a11y</s:t>
        </s:is>
      </s:c>
      <s:c r="N140" s="18" t="inlineStr">
        <s:is>
          <s:t>RG-15,RG-17</s:t>
        </s:is>
      </s:c>
      <s:c r="O140" s="13" t="inlineStr">
        <s:is>
          <s:t>No draft campaign leaks across brand context.</s:t>
        </s:is>
      </s:c>
      <s:c r="P140" s="18" t="inlineStr">
        <s:is>
          <s:t>campaign workspace</s:t>
        </s:is>
      </s:c>
      <s:c r="Q140" s="14">
        <s:f>INDEX('01_ROADMAP'!$C$5:$C$15,MATCH(B140,'01_ROADMAP'!$A$5:$A$15,0))</s:f>
        <s:v>46356.0</s:v>
      </s:c>
      <s:c r="R140" s="14">
        <s:f>INDEX('01_ROADMAP'!$D$5:$D$15,MATCH(B140,'01_ROADMAP'!$A$5:$A$15,0))</s:f>
        <s:v>46369.0</s:v>
      </s:c>
      <s:c r="S140" s="29" t="inlineStr">
        <s:is>
          <s:t>docs/backlog-deep-audit-2026-09-07.json#S6-B12</s:t>
        </s:is>
      </s:c>
      <s:c r="T140" s="13" t="inlineStr">
        <s:is>
          <s:t>FRONTEND</s:t>
        </s:is>
      </s:c>
      <s:c r="U140" s="13" t="inlineStr">
        <s:is>
          <s:t>Campaigns</s:t>
        </s:is>
      </s:c>
      <s:c r="V140" s="13" t="inlineStr">
        <s:is>
          <s:t>Deferred — posts scope</s:t>
        </s:is>
      </s:c>
      <s:c r="W140" s="13" t="inlineStr">
        <s:is>
          <s:t>PageHeader/Tabs/Timeline/Table/Drawer.</s:t>
        </s:is>
      </s:c>
      <s:c r="X140" s="13" t="inlineStr">
        <s:is>
          <s:t>E2E + a11y</s:t>
        </s:is>
      </s:c>
      <s:c r="Y140" s="59" t="inlineStr">
        <s:is>
          <s:t>Shtyrë</s:t>
        </s:is>
      </s:c>
      <s:c r="Z140" s="56" t="inlineStr">
        <s:is>
          <s:t>Strategjia, fushatat, marketing learning dhe attribution janë shtyrë nga scope-i aktiv sipas kërkesës së përdoruesit.</s:t>
        </s:is>
      </s:c>
      <s:c r="AA140" s="56" t="inlineStr">
        <s:is>
          <s:t>1. Jashtë scope-it aktual: campaign list/detail dhe slot timeline, missing-assets/offer/date warnings dhe create-content actions të lidhura me lifecycle-in server.</s:t>
        </s:is>
      </s:c>
      <s:c r="AB140" s="56" t="inlineStr">
        <s:is>
          <s:t>Prova e kërkuar nga backlog-u: E2E + a11y
Kriteri për t'u verifikuar (nuk deklarohet i kaluar): Campaign can be planned before content exists; status and missing slots clear; invalid offer/date blocked with typed error.
Pranimi kërkon edhe gate-et: RG-15,RG-17. Asnjë gate nuk është shënuar Passed nga ky audit.</s:t>
        </s:is>
      </s:c>
      <s:c r="AC140" s="56" t="inlineStr">
        <s:is>
          <s:t>Shtyrë sipas scope-it; nuk është realizuar. Kriteret dhe hapat e këtij rreshti vlejnë kur moduli të rikthehet në scope.</s:t>
        </s:is>
      </s:c>
      <s:c r="AD140" s="56" t="inlineStr">
        <s:is>
          <s:t>Nuk u gjet implementim specifik; shiko kriterin dhe hapat në AA/AB.</s:t>
        </s:is>
      </s:c>
      <s:c r="AE140" s="42" t="inlineStr">
        <s:is>
          <s:t>Shtyrë nga scope-i aktual</s:t>
        </s:is>
      </s:c>
      <s:c r="AF140" s="42" t="inlineStr">
        <s:is>
          <s:t>Jo në scope-in posts-only</s:t>
        </s:is>
      </s:c>
      <s:c r="AG140" s="42" t="inlineStr">
        <s:is>
          <s:t>Jo tani</s:t>
        </s:is>
      </s:c>
      <s:c r="AH140" s="42" t="inlineStr">
        <s:is>
          <s:t>Jashtë scope-it aktual: campaign list/detail dhe slot timeline, missing-assets/offer/date warnings dhe create-content actions të lidhura me lifecycle-in server.</s:t>
        </s:is>
      </s:c>
      <s:c r="AI140" s="42" t="inlineStr">
        <s:is>
          <s:t>docs/backlog-code-handoff-2026-09-08.json#S6-B12</s:t>
        </s:is>
      </s:c>
      <s:c r="AJ140" s="42" t="inlineStr">
        <s:is>
          <s:t>Programmer B / review: Programmer A</s:t>
        </s:is>
      </s:c>
    </s:row>
    <s:row r="141" ht="159" customHeight="1" s="48">
      <s:c r="A141" s="17" t="inlineStr">
        <s:is>
          <s:t>S6-B13</s:t>
        </s:is>
      </s:c>
      <s:c r="B141" s="18" t="inlineStr">
        <s:is>
          <s:t>S6</s:t>
        </s:is>
      </s:c>
      <s:c r="C141" s="18" t="inlineStr">
        <s:is>
          <s:t>Global Navigation</s:t>
        </s:is>
      </s:c>
      <s:c r="D141" s="12" t="inlineStr">
        <s:is>
          <s:t>Build command palette and global product search</s:t>
        </s:is>
      </s:c>
      <s:c r="E141" s="13" t="inlineStr">
        <s:is>
          <s:t>Use DashboardSearch/CommandPalette for route navigation, recent entities and safe quick actions; keyboard shortcut and mobile search entry.</s:t>
        </s:is>
      </s:c>
      <s:c r="F141" s="13" t="inlineStr">
        <s:is>
          <s:t>Search never exposes unauthorized org/brand items; keyboard open/navigate/close works; action availability respects capabilities.</s:t>
        </s:is>
      </s:c>
      <s:c r="G141" s="18" t="inlineStr">
        <s:is>
          <s:t>S0-B03,S1-B05</s:t>
        </s:is>
      </s:c>
      <s:c r="H141" s="18" t="inlineStr">
        <s:is>
          <s:t>P1</s:t>
        </s:is>
      </s:c>
      <s:c r="I141" s="18" t="inlineStr">
        <s:is>
          <s:t>Programmer B</s:t>
        </s:is>
      </s:c>
      <s:c r="J141" s="18" t="inlineStr">
        <s:is>
          <s:t>Programmer A</s:t>
        </s:is>
      </s:c>
      <s:c r="K141" s="18" t="n">
        <s:v>6</s:v>
      </s:c>
      <s:c r="L141" s="28" t="inlineStr">
        <s:is>
          <s:t>In Progress</s:t>
        </s:is>
      </s:c>
      <s:c r="M141" s="13" t="inlineStr">
        <s:is>
          <s:t>E2E + authz result fixtures</s:t>
        </s:is>
      </s:c>
      <s:c r="N141" s="18" t="inlineStr">
        <s:is>
          <s:t>RG-17</s:t>
        </s:is>
      </s:c>
      <s:c r="O141" s="13" t="inlineStr">
        <s:is>
          <s:t>Search results tenant scoped; no raw secret/provider data.</s:t>
        </s:is>
      </s:c>
      <s:c r="P141" s="18" t="inlineStr">
        <s:is>
          <s:t>command palette/search</s:t>
        </s:is>
      </s:c>
      <s:c r="Q141" s="14">
        <s:f>INDEX('01_ROADMAP'!$C$5:$C$15,MATCH(B141,'01_ROADMAP'!$A$5:$A$15,0))</s:f>
        <s:v>46356.0</s:v>
      </s:c>
      <s:c r="R141" s="14">
        <s:f>INDEX('01_ROADMAP'!$D$5:$D$15,MATCH(B141,'01_ROADMAP'!$A$5:$A$15,0))</s:f>
        <s:v>46369.0</s:v>
      </s:c>
      <s:c r="S141" s="29" t="inlineStr">
        <s:is>
          <s:t>docs/backlog-deep-audit-2026-09-07.json#S6-B13</s:t>
        </s:is>
      </s:c>
      <s:c r="T141" s="13" t="inlineStr">
        <s:is>
          <s:t>FRONTEND</s:t>
        </s:is>
      </s:c>
      <s:c r="U141" s="13" t="inlineStr">
        <s:is>
          <s:t>Global</s:t>
        </s:is>
      </s:c>
      <s:c r="V141" s="13" t="inlineStr">
        <s:is>
          <s:t>GA</s:t>
        </s:is>
      </s:c>
      <s:c r="W141" s="13" t="inlineStr">
        <s:is>
          <s:t>Nuxt UI DashboardSearch + CommandPalette.</s:t>
        </s:is>
      </s:c>
      <s:c r="X141" s="13" t="inlineStr">
        <s:is>
          <s:t>E2E + authz result fixtures</s:t>
        </s:is>
      </s:c>
      <s:c r="Y141" s="54" t="inlineStr">
        <s:is>
          <s:t>Pjesërisht</s:t>
        </s:is>
      </s:c>
      <s:c r="Z141" s="55" t="inlineStr">
        <s:is>
          <s:t>Command palette me keyboard/mobile hyrje, navigation dhe kërkim në postimet e biznesit të ngarkuar.</s:t>
        </s:is>
      </s:c>
      <s:c r="AA141" s="55" t="inlineStr">
        <s:is>
          <s:t>1. Mungojnë server search me pagination, recent entities/capability action matrix dhe authz/search fixtures.
2. DA-09: Shto API të kufizuara për lista/kërkim dhe commands të veçanta për mutacione, me revision/idempotency dhe thumbnails sipas nevojës.</s:t>
        </s:is>
      </s:c>
      <s:c r="AB141" s="55" t="inlineStr">
        <s:is>
          <s:t>Prova e kërkuar nga backlog-u: E2E + authz result fixtures
Kriteri për t'u verifikuar (nuk deklarohet i kaluar): Search never exposes unauthorized org/brand items; keyboard open/navigate/close works; action availability respects capabilities.
DA-09: Fixture 500+ asset dhe 1000 postime: mat bytes/p95/memorien; filtër/cursor nuk kalon tenant-in dhe ndryshimi i një postimi nuk rishkruan gjithë listën.
Pranimi kërkon edhe gate-et: RG-17. Asnjë gate nuk është shënuar Passed nga ky audit.</s:t>
        </s:is>
      </s:c>
      <s:c r="AC141" s="55" t="inlineStr">
        <s:is>
          <s:t>U rishikuan kodi/artefaktet dhe u kërkua implementimi i kësaj detyre. Nuk ka provë të ekzekutuar specifike që mbyll të gjithë kriterin; kontrollet globale nuk e zëvendësojnë atë.</s:t>
        </s:is>
      </s:c>
      <s:c r="AD141" s="55" t="inlineStr">
        <s:is>
          <s:t>apps/web/app/layouts/dashboard.vue
apps/web/app/composables/usePagination.ts:12
apps/web/app/composables/useWorkspace.ts:27
apps/web/app/composables/useWorkspace.ts:54
apps/web/app/layouts/dashboard.vue:102
DA-09: Listat e postimeve/galerisë dhe kërkimi global ngarkojnë workspace-in e plotë; ruajtjet dërgojnë snapshot të plotë. Importet Meta kanë query pagination të veçantë. Prova me 13 postime kalon, por nuk është provë ngarkese.</s:t>
        </s:is>
      </s:c>
      <s:c r="AE141" s="42" t="inlineStr">
        <s:is>
          <s:t>Pjesërisht — kërkon zhvillim</s:t>
        </s:is>
      </s:c>
      <s:c r="AF141" s="42" t="inlineStr">
        <s:is>
          <s:t>Po</s:t>
        </s:is>
      </s:c>
      <s:c r="AG141" s="42" t="inlineStr">
        <s:is>
          <s:t>Po, pas implementimit</s:t>
        </s:is>
      </s:c>
      <s:c r="AH141" s="42" t="inlineStr">
        <s:is>
          <s:t>Mungojnë server search me pagination, recent entities/capability action matrix dhe authz/search fixtures. 2.</s:t>
        </s:is>
      </s:c>
      <s:c r="AI141" s="42" t="inlineStr">
        <s:is>
          <s:t>docs/backlog-code-handoff-2026-09-08.json#S6-B13</s:t>
        </s:is>
      </s:c>
      <s:c r="AJ141" s="42" t="inlineStr">
        <s:is>
          <s:t>Programmer B / review: Programmer A</s:t>
        </s:is>
      </s:c>
    </s:row>
    <s:row r="142" ht="155.1" customHeight="1" s="48">
      <s:c r="A142" s="17" t="inlineStr">
        <s:is>
          <s:t>S6-B14</s:t>
        </s:is>
      </s:c>
      <s:c r="B142" s="18" t="inlineStr">
        <s:is>
          <s:t>S6</s:t>
        </s:is>
      </s:c>
      <s:c r="C142" s="18" t="inlineStr">
        <s:is>
          <s:t>AI Copilot UX</s:t>
        </s:is>
      </s:c>
      <s:c r="D142" s="12" t="inlineStr">
        <s:is>
          <s:t>Create global AI Marketing Copilot shell</s:t>
        </s:is>
      </s:c>
      <s:c r="E142" s="13" t="inlineStr">
        <s:is>
          <s:t>Use Nuxt UI ChatMessages/ChatPrompt/ChatTool in a page/slideover. Copilot can explain, navigate and prepare drafts/strategy actions through explicit tool proposals.</s:t>
        </s:is>
      </s:c>
      <s:c r="F142" s="13" t="inlineStr">
        <s:is>
          <s:t>Tool action that changes state requires visible confirmation or normal domain workflow; chat failure never loses underlying draft.</s:t>
        </s:is>
      </s:c>
      <s:c r="G142" s="18" t="inlineStr">
        <s:is>
          <s:t>S3-A08,S6-A10,S6-A11</s:t>
        </s:is>
      </s:c>
      <s:c r="H142" s="18" t="inlineStr">
        <s:is>
          <s:t>P1</s:t>
        </s:is>
      </s:c>
      <s:c r="I142" s="18" t="inlineStr">
        <s:is>
          <s:t>Programmer B</s:t>
        </s:is>
      </s:c>
      <s:c r="J142" s="18" t="inlineStr">
        <s:is>
          <s:t>Programmer A</s:t>
        </s:is>
      </s:c>
      <s:c r="K142" s="18" t="n">
        <s:v>8</s:v>
      </s:c>
      <s:c r="L142" s="30" t="inlineStr">
        <s:is>
          <s:t>Not Started</s:t>
        </s:is>
      </s:c>
      <s:c r="M142" s="13" t="inlineStr">
        <s:is>
          <s:t>E2E + safety fixtures</s:t>
        </s:is>
      </s:c>
      <s:c r="N142" s="18" t="inlineStr">
        <s:is>
          <s:t>RG-16,RG-17</s:t>
        </s:is>
      </s:c>
      <s:c r="O142" s="13" t="inlineStr">
        <s:is>
          <s:t>Never render hidden chain-of-thought; show concise action rationale/tool status only.</s:t>
        </s:is>
      </s:c>
      <s:c r="P142" s="18" t="inlineStr">
        <s:is>
          <s:t>AI copilot shell</s:t>
        </s:is>
      </s:c>
      <s:c r="Q142" s="14">
        <s:f>INDEX('01_ROADMAP'!$C$5:$C$15,MATCH(B142,'01_ROADMAP'!$A$5:$A$15,0))</s:f>
        <s:v>46356.0</s:v>
      </s:c>
      <s:c r="R142" s="14">
        <s:f>INDEX('01_ROADMAP'!$D$5:$D$15,MATCH(B142,'01_ROADMAP'!$A$5:$A$15,0))</s:f>
        <s:v>46369.0</s:v>
      </s:c>
      <s:c r="S142" s="29" t="inlineStr">
        <s:is>
          <s:t>docs/backlog-deep-audit-2026-09-07.json#S6-B14</s:t>
        </s:is>
      </s:c>
      <s:c r="T142" s="13" t="inlineStr">
        <s:is>
          <s:t>FRONTEND/AI</s:t>
        </s:is>
      </s:c>
      <s:c r="U142" s="13" t="inlineStr">
        <s:is>
          <s:t>Global</s:t>
        </s:is>
      </s:c>
      <s:c r="V142" s="13" t="inlineStr">
        <s:is>
          <s:t>GA</s:t>
        </s:is>
      </s:c>
      <s:c r="W142" s="13" t="inlineStr">
        <s:is>
          <s:t>ChatPalette/ChatPrompt/ChatTool; abort/retry supported.</s:t>
        </s:is>
      </s:c>
      <s:c r="X142" s="13" t="inlineStr">
        <s:is>
          <s:t>E2E + safety fixtures</s:t>
        </s:is>
      </s:c>
      <s:c r="Y142" s="57" t="inlineStr">
        <s:is>
          <s:t>Pa filluar</s:t>
        </s:is>
      </s:c>
      <s:c r="Z142" s="56" t="inlineStr">
        <s:is>
          <s:t>CopilotPanel është udhëzim/navigim dhe CaptionAssistant është gjenerues tekstesh me kërkesë të përdoruesit.</s:t>
        </s:is>
      </s:c>
      <s:c r="AA142" s="56" t="inlineStr">
        <s:is>
          <s:t>1. Ndërto ChatMessages/ChatPrompt/ChatTool shell me typed proposals, konfirmim dhe link te drafti/artefakti; failure/abort nuk humbet punën. CopilotPanel aktual është vetëm udhëzim statik.</s:t>
        </s:is>
      </s:c>
      <s:c r="AB142" s="56" t="inlineStr">
        <s:is>
          <s:t>Prova e kërkuar nga backlog-u: E2E + safety fixtures
Kriteri për t'u verifikuar (nuk deklarohet i kaluar): Tool action that changes state requires visible confirmation or normal domain workflow; chat failure never loses underlying draft.
Pranimi kërkon edhe gate-et: RG-16,RG-17. Asnjë gate nuk është shënuar Passed nga ky audit.</s:t>
        </s:is>
      </s:c>
      <s:c r="AC142" s="56" t="inlineStr">
        <s:is>
          <s:t>U rishikuan kodi/artefaktet dhe u kërkua implementimi i kësaj detyre. Nuk ka provë të ekzekutuar specifike që mbyll të gjithë kriterin; kontrollet globale nuk e zëvendësojnë atë.</s:t>
        </s:is>
      </s:c>
      <s:c r="AD142" s="56" t="inlineStr">
        <s:is>
          <s:t>apps/web/app/components/CopilotPanel.vue
apps/web/app/components/CaptionAssistant.vue</s:t>
        </s:is>
      </s:c>
      <s:c r="AE142" s="42" t="inlineStr">
        <s:is>
          <s:t>Pa filluar</s:t>
        </s:is>
      </s:c>
      <s:c r="AF142" s="42" t="inlineStr">
        <s:is>
          <s:t>Po</s:t>
        </s:is>
      </s:c>
      <s:c r="AG142" s="42" t="inlineStr">
        <s:is>
          <s:t>Po, pas implementimit</s:t>
        </s:is>
      </s:c>
      <s:c r="AH142" s="42" t="inlineStr">
        <s:is>
          <s:t>Ndërto ChatMessages/ChatPrompt/ChatTool shell me typed proposals, konfirmim dhe link te drafti/artefakti; failure/abort nuk humbet punën. CopilotPanel aktual është vetëm udhëzim statik.</s:t>
        </s:is>
      </s:c>
      <s:c r="AI142" s="42" t="inlineStr">
        <s:is>
          <s:t>docs/backlog-code-handoff-2026-09-08.json#S6-B14</s:t>
        </s:is>
      </s:c>
      <s:c r="AJ142" s="42" t="inlineStr">
        <s:is>
          <s:t>Programmer B / review: Programmer A</s:t>
        </s:is>
      </s:c>
    </s:row>
    <s:row r="143" ht="155.1" customHeight="1" s="48">
      <s:c r="A143" s="17" t="inlineStr">
        <s:is>
          <s:t>S7-A01</s:t>
        </s:is>
      </s:c>
      <s:c r="B143" s="18" t="inlineStr">
        <s:is>
          <s:t>S7</s:t>
        </s:is>
      </s:c>
      <s:c r="C143" s="18" t="inlineStr">
        <s:is>
          <s:t>Learning Loop</s:t>
        </s:is>
      </s:c>
      <s:c r="D143" s="12" t="inlineStr">
        <s:is>
          <s:t>Implement performance learning observation pipeline</s:t>
        </s:is>
      </s:c>
      <s:c r="E143" s="13" t="inlineStr">
        <s:is>
          <s:t>At defined metric windows compile normalized evidence, compare with same-brand baseline and produce structured learning observation/recommendation with confidence/limitations.</s:t>
        </s:is>
      </s:c>
      <s:c r="F143" s="13" t="inlineStr">
        <s:is>
          <s:t>Every recommendation links metric_refs; no unsupported causality; duplicate windows idempotent; learning cannot mutate active strategy silently.</s:t>
        </s:is>
      </s:c>
      <s:c r="G143" s="18" t="inlineStr">
        <s:is>
          <s:t>S5-A02,S5-A03,S6-A10</s:t>
        </s:is>
      </s:c>
      <s:c r="H143" s="18" t="inlineStr">
        <s:is>
          <s:t>P0</s:t>
        </s:is>
      </s:c>
      <s:c r="I143" s="18" t="inlineStr">
        <s:is>
          <s:t>Programmer A</s:t>
        </s:is>
      </s:c>
      <s:c r="J143" s="18" t="inlineStr">
        <s:is>
          <s:t>Programmer B</s:t>
        </s:is>
      </s:c>
      <s:c r="K143" s="18" t="n">
        <s:v>10</s:v>
      </s:c>
      <s:c r="L143" s="32" t="inlineStr">
        <s:is>
          <s:t>Deferred</s:t>
        </s:is>
      </s:c>
      <s:c r="M143" s="13" t="inlineStr">
        <s:is>
          <s:t>Replay + eval + API tests</s:t>
        </s:is>
      </s:c>
      <s:c r="N143" s="18" t="inlineStr">
        <s:is>
          <s:t>RG-15,RG-16</s:t>
        </s:is>
      </s:c>
      <s:c r="O143" s="13" t="inlineStr">
        <s:is>
          <s:t>Metrics privacy-minimized; tenant scoped.</s:t>
        </s:is>
      </s:c>
      <s:c r="P143" s="18" t="inlineStr">
        <s:is>
          <s:t>learning pipeline</s:t>
        </s:is>
      </s:c>
      <s:c r="Q143" s="14">
        <s:f>INDEX('01_ROADMAP'!$C$5:$C$15,MATCH(B143,'01_ROADMAP'!$A$5:$A$15,0))</s:f>
        <s:v>46370.0</s:v>
      </s:c>
      <s:c r="R143" s="14">
        <s:f>INDEX('01_ROADMAP'!$D$5:$D$15,MATCH(B143,'01_ROADMAP'!$A$5:$A$15,0))</s:f>
        <s:v>46383.0</s:v>
      </s:c>
      <s:c r="S143" s="29" t="inlineStr">
        <s:is>
          <s:t>docs/backlog-deep-audit-2026-09-07.json#S7-A01</s:t>
        </s:is>
      </s:c>
      <s:c r="T143" s="13" t="inlineStr">
        <s:is>
          <s:t>AI/ANALYTICS</s:t>
        </s:is>
      </s:c>
      <s:c r="U143" s="13" t="inlineStr">
        <s:is>
          <s:t>Analytics</s:t>
        </s:is>
      </s:c>
      <s:c r="V143" s="13" t="inlineStr">
        <s:is>
          <s:t>Deferred — posts scope</s:t>
        </s:is>
      </s:c>
      <s:c r="W143" s="13" t="inlineStr">
        <s:is>
          <s:t>Analytics/strategy surfaces show accepted/deferred recommendations.</s:t>
        </s:is>
      </s:c>
      <s:c r="X143" s="13" t="inlineStr">
        <s:is>
          <s:t>Replay + eval + API tests</s:t>
        </s:is>
      </s:c>
      <s:c r="Y143" s="59" t="inlineStr">
        <s:is>
          <s:t>Shtyrë</s:t>
        </s:is>
      </s:c>
      <s:c r="Z143" s="55" t="inlineStr">
        <s:is>
          <s:t>Strategjia, fushatat, marketing learning dhe attribution janë shtyrë nga scope-i aktiv sipas kërkesës së përdoruesit.</s:t>
        </s:is>
      </s:c>
      <s:c r="AA143" s="55" t="inlineStr">
        <s:is>
          <s:t>1. Kur rikthehet learning: pipeline sipas metric windows, baseline vetëm i të njëjtit biznes, observation/recommendation me metric refs/confidence/limitations dhe replay idempotent; mos ndrysho strategy vetvetiu.</s:t>
        </s:is>
      </s:c>
      <s:c r="AB143" s="55" t="inlineStr">
        <s:is>
          <s:t>Prova e kërkuar nga backlog-u: Replay + eval + API tests
Kriteri për t'u verifikuar (nuk deklarohet i kaluar): Every recommendation links metric_refs; no unsupported causality; duplicate windows idempotent; learning cannot mutate active strategy silently.
Pranimi kërkon edhe gate-et: RG-15,RG-16. Asnjë gate nuk është shënuar Passed nga ky audit.</s:t>
        </s:is>
      </s:c>
      <s:c r="AC143" s="55" t="inlineStr">
        <s:is>
          <s:t>Shtyrë sipas scope-it; nuk është realizuar. Kriteret dhe hapat e këtij rreshti vlejnë kur moduli të rikthehet në scope.</s:t>
        </s:is>
      </s:c>
      <s:c r="AD143" s="55" t="inlineStr">
        <s:is>
          <s:t>Nuk u gjet implementim specifik; shiko kriterin dhe hapat në AA/AB.</s:t>
        </s:is>
      </s:c>
      <s:c r="AE143" s="42" t="inlineStr">
        <s:is>
          <s:t>Shtyrë nga scope-i aktual</s:t>
        </s:is>
      </s:c>
      <s:c r="AF143" s="42" t="inlineStr">
        <s:is>
          <s:t>Jo në scope-in posts-only</s:t>
        </s:is>
      </s:c>
      <s:c r="AG143" s="42" t="inlineStr">
        <s:is>
          <s:t>Jo tani</s:t>
        </s:is>
      </s:c>
      <s:c r="AH143" s="42" t="inlineStr">
        <s:is>
          <s:t>Kur rikthehet learning: pipeline sipas metric windows, baseline vetëm i të njëjtit biznes, observation/recommendation me metric refs/confidence/limitations dhe replay idempotent; mos ndrysho strategy vetvetiu.</s:t>
        </s:is>
      </s:c>
      <s:c r="AI143" s="42" t="inlineStr">
        <s:is>
          <s:t>docs/backlog-code-handoff-2026-09-08.json#S7-A01</s:t>
        </s:is>
      </s:c>
      <s:c r="AJ143" s="42" t="inlineStr">
        <s:is>
          <s:t>Programmer A / review: Programmer B</s:t>
        </s:is>
      </s:c>
    </s:row>
    <s:row r="144" ht="155.1" customHeight="1" s="48">
      <s:c r="A144" s="17" t="inlineStr">
        <s:is>
          <s:t>S7-A02</s:t>
        </s:is>
      </s:c>
      <s:c r="B144" s="18" t="inlineStr">
        <s:is>
          <s:t>S7</s:t>
        </s:is>
      </s:c>
      <s:c r="C144" s="18" t="inlineStr">
        <s:is>
          <s:t>Vertical Policies</s:t>
        </s:is>
      </s:c>
      <s:c r="D144" s="12" t="inlineStr">
        <s:is>
          <s:t>Create initial vertical policy/eval packs</s:t>
        </s:is>
      </s:c>
      <s:c r="E144" s="13" t="inlineStr">
        <s:is>
          <s:t>Create dental/beauty, restaurant/cafe and real-estate/construction rule packs: risky claims, required facts, content intents, golden prompts and human review rubric.</s:t>
        </s:is>
      </s:c>
      <s:c r="F144" s="13" t="inlineStr">
        <s:is>
          <s:t>Each vertical has minimum golden set, BLOCK/WARN cases and pass thresholds; policy version pinned to decision.</s:t>
        </s:is>
      </s:c>
      <s:c r="G144" s="18" t="inlineStr">
        <s:is>
          <s:t>S6-A12,S3-A10</s:t>
        </s:is>
      </s:c>
      <s:c r="H144" s="18" t="inlineStr">
        <s:is>
          <s:t>P0</s:t>
        </s:is>
      </s:c>
      <s:c r="I144" s="18" t="inlineStr">
        <s:is>
          <s:t>Programmer A</s:t>
        </s:is>
      </s:c>
      <s:c r="J144" s="18" t="inlineStr">
        <s:is>
          <s:t>Programmer B</s:t>
        </s:is>
      </s:c>
      <s:c r="K144" s="18" t="n">
        <s:v>8</s:v>
      </s:c>
      <s:c r="L144" s="30" t="inlineStr">
        <s:is>
          <s:t>Not Started</s:t>
        </s:is>
      </s:c>
      <s:c r="M144" s="13" t="inlineStr">
        <s:is>
          <s:t>Golden eval + human rubric</s:t>
        </s:is>
      </s:c>
      <s:c r="N144" s="18" t="inlineStr">
        <s:is>
          <s:t>RG-16</s:t>
        </s:is>
      </s:c>
      <s:c r="O144" s="13" t="inlineStr">
        <s:is>
          <s:t>Avoid medical/legal conclusions; policy reviewed before beta vertical use.</s:t>
        </s:is>
      </s:c>
      <s:c r="P144" s="18" t="inlineStr">
        <s:is>
          <s:t>3 vertical policy packs</s:t>
        </s:is>
      </s:c>
      <s:c r="Q144" s="14">
        <s:f>INDEX('01_ROADMAP'!$C$5:$C$15,MATCH(B144,'01_ROADMAP'!$A$5:$A$15,0))</s:f>
        <s:v>46370.0</s:v>
      </s:c>
      <s:c r="R144" s="14">
        <s:f>INDEX('01_ROADMAP'!$D$5:$D$15,MATCH(B144,'01_ROADMAP'!$A$5:$A$15,0))</s:f>
        <s:v>46383.0</s:v>
      </s:c>
      <s:c r="S144" s="29" t="inlineStr">
        <s:is>
          <s:t>docs/backlog-deep-audit-2026-09-07.json#S7-A02</s:t>
        </s:is>
      </s:c>
      <s:c r="T144" s="13" t="inlineStr">
        <s:is>
          <s:t>AI/SECURITY</s:t>
        </s:is>
      </s:c>
      <s:c r="U144" s="13" t="inlineStr">
        <s:is>
          <s:t>AI Platform</s:t>
        </s:is>
      </s:c>
      <s:c r="V144" s="13" t="inlineStr">
        <s:is>
          <s:t>GA</s:t>
        </s:is>
      </s:c>
      <s:c r="W144" s="13" t="inlineStr">
        <s:is>
          <s:t>UI displays vertical-specific guidance without overwhelming user.</s:t>
        </s:is>
      </s:c>
      <s:c r="X144" s="13" t="inlineStr">
        <s:is>
          <s:t>Golden eval + human rubric</s:t>
        </s:is>
      </s:c>
      <s:c r="Y144" s="57" t="inlineStr">
        <s:is>
          <s:t>Pa filluar</s:t>
        </s:is>
      </s:c>
      <s:c r="Z144" s="56" t="inlineStr">
        <s:is>
          <s:t>Kontrollet aktuale janë teknike dhe të përgjithshme.</s:t>
        </s:is>
      </s:c>
      <s:c r="AA144" s="56" t="inlineStr">
        <s:is>
          <s:t>1. Mungojnë vertical policy/eval packs për dental/beauty, restaurant/cafe, real-estate/construction, human rubric dhe golden thresholds.</s:t>
        </s:is>
      </s:c>
      <s:c r="AB144" s="56" t="inlineStr">
        <s:is>
          <s:t>Prova e kërkuar nga backlog-u: Golden eval + human rubric
Kriteri për t'u verifikuar (nuk deklarohet i kaluar): Each vertical has minimum golden set, BLOCK/WARN cases and pass thresholds; policy version pinned to decision.
Pranimi kërkon edhe gate-et: RG-16. Asnjë gate nuk është shënuar Passed nga ky audit.</s:t>
        </s:is>
      </s:c>
      <s:c r="AC144" s="56" t="inlineStr">
        <s:is>
          <s:t>U rishikuan kodi/artefaktet dhe u kërkua implementimi i kësaj detyre. Nuk ka provë të ekzekutuar specifike që mbyll të gjithë kriterin; kontrollet globale nuk e zëvendësojnë atë.</s:t>
        </s:is>
      </s:c>
      <s:c r="AD144" s="56" t="inlineStr">
        <s:is>
          <s:t>apps/web/server/utils/post-validation.ts</s:t>
        </s:is>
      </s:c>
      <s:c r="AE144" s="42" t="inlineStr">
        <s:is>
          <s:t>Pa filluar</s:t>
        </s:is>
      </s:c>
      <s:c r="AF144" s="42" t="inlineStr">
        <s:is>
          <s:t>Po</s:t>
        </s:is>
      </s:c>
      <s:c r="AG144" s="42" t="inlineStr">
        <s:is>
          <s:t>Po, pas implementimit</s:t>
        </s:is>
      </s:c>
      <s:c r="AH144" s="42" t="inlineStr">
        <s:is>
          <s:t>Mungojnë vertical policy/eval packs për dental/beauty, restaurant/cafe, real-estate/construction, human rubric dhe golden thresholds.</s:t>
        </s:is>
      </s:c>
      <s:c r="AI144" s="42" t="inlineStr">
        <s:is>
          <s:t>docs/backlog-code-handoff-2026-09-08.json#S7-A02</s:t>
        </s:is>
      </s:c>
      <s:c r="AJ144" s="42" t="inlineStr">
        <s:is>
          <s:t>Programmer A / review: Programmer B</s:t>
        </s:is>
      </s:c>
    </s:row>
    <s:row r="145" ht="180" customHeight="1" s="48">
      <s:c r="A145" s="17" t="inlineStr">
        <s:is>
          <s:t>S7-A03</s:t>
        </s:is>
      </s:c>
      <s:c r="B145" s="18" t="inlineStr">
        <s:is>
          <s:t>S7</s:t>
        </s:is>
      </s:c>
      <s:c r="C145" s="18" t="inlineStr">
        <s:is>
          <s:t>Content Formats</s:t>
        </s:is>
      </s:c>
      <s:c r="D145" s="12" t="inlineStr">
        <s:is>
          <s:t>Implement ContentFormat and ChannelCapability registry</s:t>
        </s:is>
      </s:c>
      <s:c r="E145" s="13" t="inlineStr">
        <s:is>
          <s:t>Replace image-centric assumptions with typed formats/requirements/capabilities; static fully enabled, carousel/reel/story schema-ready and provider gated.</s:t>
        </s:is>
      </s:c>
      <s:c r="F145" s="13" t="inlineStr">
        <s:is>
          <s:t>Unsupported format/account pair fails before generation/publish; adapter capability controls behavior; no format-specific conditionals spread across domain.</s:t>
        </s:is>
      </s:c>
      <s:c r="G145" s="18" t="inlineStr">
        <s:is>
          <s:t>S2-A04,S3-A07,S4-A04</s:t>
        </s:is>
      </s:c>
      <s:c r="H145" s="18" t="inlineStr">
        <s:is>
          <s:t>P0</s:t>
        </s:is>
      </s:c>
      <s:c r="I145" s="18" t="inlineStr">
        <s:is>
          <s:t>Programmer A</s:t>
        </s:is>
      </s:c>
      <s:c r="J145" s="18" t="inlineStr">
        <s:is>
          <s:t>Programmer B</s:t>
        </s:is>
      </s:c>
      <s:c r="K145" s="18" t="n">
        <s:v>8</s:v>
      </s:c>
      <s:c r="L145" s="28" t="inlineStr">
        <s:is>
          <s:t>In Progress</s:t>
        </s:is>
      </s:c>
      <s:c r="M145" s="13" t="inlineStr">
        <s:is>
          <s:t>Contract + adapter tests</s:t>
        </s:is>
      </s:c>
      <s:c r="N145" s="18" t="inlineStr">
        <s:is>
          <s:t>RG-17,RG-19</s:t>
        </s:is>
      </s:c>
      <s:c r="O145" s="13" t="inlineStr">
        <s:is>
          <s:t>Provider constraints validated server-side.</s:t>
        </s:is>
      </s:c>
      <s:c r="P145" s="18" t="inlineStr">
        <s:is>
          <s:t>format/capability registry</s:t>
        </s:is>
      </s:c>
      <s:c r="Q145" s="14">
        <s:f>INDEX('01_ROADMAP'!$C$5:$C$15,MATCH(B145,'01_ROADMAP'!$A$5:$A$15,0))</s:f>
        <s:v>46370.0</s:v>
      </s:c>
      <s:c r="R145" s="14">
        <s:f>INDEX('01_ROADMAP'!$D$5:$D$15,MATCH(B145,'01_ROADMAP'!$A$5:$A$15,0))</s:f>
        <s:v>46383.0</s:v>
      </s:c>
      <s:c r="S145" s="29" t="inlineStr">
        <s:is>
          <s:t>docs/backlog-partial-progress-2026-09-08.json#S7-A03</s:t>
        </s:is>
      </s:c>
      <s:c r="T145" s="13" t="inlineStr">
        <s:is>
          <s:t>BACKEND</s:t>
        </s:is>
      </s:c>
      <s:c r="U145" s="13" t="inlineStr">
        <s:is>
          <s:t>Content Studio</s:t>
        </s:is>
      </s:c>
      <s:c r="V145" s="13" t="inlineStr">
        <s:is>
          <s:t>GA</s:t>
        </s:is>
      </s:c>
      <s:c r="W145" s="13" t="inlineStr">
        <s:is>
          <s:t>Frontend selectors driven by capability DTO.</s:t>
        </s:is>
      </s:c>
      <s:c r="X145" s="13" t="inlineStr">
        <s:is>
          <s:t>Contract + adapter tests</s:t>
        </s:is>
      </s:c>
      <s:c r="Y145" s="54" t="inlineStr">
        <s:is>
          <s:t>Pjesërisht</s:t>
        </s:is>
      </s:c>
      <s:c r="Z145" s="55" t="inlineStr">
        <s:is>
          <s:t>ContentFormat/ChannelCapability registry qendror përcakton mbështetjen dhe mediaFit për Facebook/Instagram. Validimi dhe preview përdorin të njëjtin burim; carousel dështon para remote publish.</s:t>
        </s:is>
      </s:c>
      <s:c r="AA145" s="55" t="inlineStr">
        <s:is>
          <s:t>Mbeten reel/story/carousel adapters, account-level capability contract dhe provider contract tests për secilin format.</s:t>
        </s:is>
      </s:c>
      <s:c r="AB145" s="55" t="inlineStr">
        <s:is>
          <s:t>Prova e kërkuar nga backlog-u: Contract + adapter tests
Kriteri për t'u verifikuar (nuk deklarohet i kaluar): Unsupported format/account pair fails before generation/publish; adapter capability controls behavior; no format-specific conditionals spread across domain.
DA-16: Foto katrore/portrait/landscape në të dy kanalet: krahaso preview me dimensionet e asset-it të dërguar; golden render për composer kur zbatohet.
Pranimi kërkon edhe gate-et: RG-17,RG-19. Asnjë gate nuk është shënuar Passed nga ky audit.</s:t>
        </s:is>
      </s:c>
      <s:c r="AC145" s="55" t="inlineStr">
        <s:is>
          <s:t>Unit test provon registry-n static/carousel; local checks dhe app/server typecheck kaluan.</s:t>
        </s:is>
      </s:c>
      <s:c r="AD145" s="55" t="inlineStr">
        <s:is>
          <s:t>apps/web/shared/utils/content-formats.ts
apps/web/server/utils/post-validation.ts
apps/web/app/components/ChannelPostPreview.vue
apps/web/tests/unit/workspace.test.ts</s:t>
        </s:is>
      </s:c>
      <s:c r="AE145" s="42" t="inlineStr">
        <s:is>
          <s:t>Pjesërisht — kërkon zhvillim</s:t>
        </s:is>
      </s:c>
      <s:c r="AF145" s="42" t="inlineStr">
        <s:is>
          <s:t>Po</s:t>
        </s:is>
      </s:c>
      <s:c r="AG145" s="42" t="inlineStr">
        <s:is>
          <s:t>Po — përzier me punë të jashtme</s:t>
        </s:is>
      </s:c>
      <s:c r="AH145" s="42" t="inlineStr">
        <s:is>
          <s:t>Mbeten reel/story/carousel adapters, account-level capability contract dhe provider contract tests për secilin format.</s:t>
        </s:is>
      </s:c>
      <s:c r="AI145" s="42" t="inlineStr">
        <s:is>
          <s:t>docs/backlog-code-handoff-2026-09-08.json#S7-A03</s:t>
        </s:is>
      </s:c>
      <s:c r="AJ145" s="42" t="inlineStr">
        <s:is>
          <s:t>Programmer A / review: Programmer B</s:t>
        </s:is>
      </s:c>
    </s:row>
    <s:row r="146" ht="159" customHeight="1" s="48">
      <s:c r="A146" s="17" t="inlineStr">
        <s:is>
          <s:t>S7-A04</s:t>
        </s:is>
      </s:c>
      <s:c r="B146" s="18" t="inlineStr">
        <s:is>
          <s:t>S7</s:t>
        </s:is>
      </s:c>
      <s:c r="C146" s="18" t="inlineStr">
        <s:is>
          <s:t>Billing Lifecycle</s:t>
        </s:is>
      </s:c>
      <s:c r="D146" s="12" t="inlineStr">
        <s:is>
          <s:t>Complete subscription lifecycle state machine</s:t>
        </s:is>
      </s:c>
      <s:c r="E146" s="13" t="inlineStr">
        <s:is>
          <s:t>Model trial, active, past_due, grace, cancel-at-period-end, canceled, upgrade/downgrade effective dates, refund/chargeback hooks and out-of-order webhooks.</s:t>
        </s:is>
      </s:c>
      <s:c r="F146" s="13" t="inlineStr">
        <s:is>
          <s:t>Duplicate/out-of-order provider events produce deterministic state; data is never deleted on downgrade; entitlements match effective state.</s:t>
        </s:is>
      </s:c>
      <s:c r="G146" s="18" t="inlineStr">
        <s:is>
          <s:t>S5-A04,S5-A05,S5-A06</s:t>
        </s:is>
      </s:c>
      <s:c r="H146" s="18" t="inlineStr">
        <s:is>
          <s:t>P0</s:t>
        </s:is>
      </s:c>
      <s:c r="I146" s="18" t="inlineStr">
        <s:is>
          <s:t>Programmer A</s:t>
        </s:is>
      </s:c>
      <s:c r="J146" s="18" t="inlineStr">
        <s:is>
          <s:t>Programmer B</s:t>
        </s:is>
      </s:c>
      <s:c r="K146" s="18" t="n">
        <s:v>8</s:v>
      </s:c>
      <s:c r="L146" s="28" t="inlineStr">
        <s:is>
          <s:t>In Progress</s:t>
        </s:is>
      </s:c>
      <s:c r="M146" s="13" t="inlineStr">
        <s:is>
          <s:t>Webhook replay + state tests</s:t>
        </s:is>
      </s:c>
      <s:c r="N146" s="18" t="inlineStr">
        <s:is>
          <s:t>RG-08</s:t>
        </s:is>
      </s:c>
      <s:c r="O146" s="13" t="inlineStr">
        <s:is>
          <s:t>Financial events audited; provider-neutral internal states.</s:t>
        </s:is>
      </s:c>
      <s:c r="P146" s="18" t="inlineStr">
        <s:is>
          <s:t>billing lifecycle v1</s:t>
        </s:is>
      </s:c>
      <s:c r="Q146" s="14">
        <s:f>INDEX('01_ROADMAP'!$C$5:$C$15,MATCH(B146,'01_ROADMAP'!$A$5:$A$15,0))</s:f>
        <s:v>46370.0</s:v>
      </s:c>
      <s:c r="R146" s="14">
        <s:f>INDEX('01_ROADMAP'!$D$5:$D$15,MATCH(B146,'01_ROADMAP'!$A$5:$A$15,0))</s:f>
        <s:v>46383.0</s:v>
      </s:c>
      <s:c r="S146" s="29" t="inlineStr">
        <s:is>
          <s:t>docs/backlog-deep-audit-2026-09-07.json#S7-A04</s:t>
        </s:is>
      </s:c>
      <s:c r="T146" s="13" t="inlineStr">
        <s:is>
          <s:t>BILLING</s:t>
        </s:is>
      </s:c>
      <s:c r="U146" s="13" t="inlineStr">
        <s:is>
          <s:t>Billing</s:t>
        </s:is>
      </s:c>
      <s:c r="V146" s="13" t="inlineStr">
        <s:is>
          <s:t>GA</s:t>
        </s:is>
      </s:c>
      <s:c r="W146" s="13" t="inlineStr">
        <s:is>
          <s:t>UI gets effective date/reason/next action fields.</s:t>
        </s:is>
      </s:c>
      <s:c r="X146" s="13" t="inlineStr">
        <s:is>
          <s:t>Webhook replay + state tests</s:t>
        </s:is>
      </s:c>
      <s:c r="Y146" s="54" t="inlineStr">
        <s:is>
          <s:t>Pjesërisht</s:t>
        </s:is>
      </s:c>
      <s:c r="Z146" s="56" t="inlineStr">
        <s:is>
          <s:t>Trial 72h, expiry/blocked/revoked dhe paid entitlement validity funksionojnë në DB.</s:t>
        </s:is>
      </s:c>
      <s:c r="AA146" s="56" t="inlineStr">
        <s:is>
          <s:t>1. Nuk ka subscription trial→active/past_due/grace/cancel/refund/chargeback state machine ose provider webhooks/out-of-order tests.
2. DA-15: Unifiko katalogun dhe kontratën e tipizuar të limiteve; lidhi me enforcement dhe usage snapshot, pastaj konfirmo çmimet komerciale dhe checkout.</s:t>
        </s:is>
      </s:c>
      <s:c r="AB146" s="56" t="inlineStr">
        <s:is>
          <s:t>Prova e kërkuar nga backlog-u: Webhook replay + state tests
Kriteri për t'u verifikuar (nuk deklarohet i kaluar): Duplicate/out-of-order provider events produce deterministic state; data is never deleted on downgrade; entitlements match effective state.
DA-15: Për çdo plan/version provo features/limits të shfaqura kundrejt serverit, konfigurim të pavlefshëm, downgrade dhe expiry; pagesat kërkojnë sandbox më vete.
Pranimi kërkon edhe gate-et: RG-08. Asnjë gate nuk është shënuar Passed nga ky audit.</s:t>
        </s:is>
      </s:c>
      <s:c r="AC146" s="56" t="inlineStr">
        <s:is>
          <s:t>hq-deep-audit-unit.log: trial 72h/idempotency, concurrent device claim, normalized email, reused Meta identity, expiry dhe active entitlement. Nuk provon checkout, subscription lifecycle ose hardware identity.</s:t>
        </s:is>
      </s:c>
      <s:c r="AD146" s="56" t="inlineStr">
        <s:is>
          <s:t>apps/web/server/utils/trials.ts
apps/web/tests/integration/server.test.ts
apps/web/server/utils/trials.ts:36
apps/web/server/api/plans.get.ts
apps/web/database/migrations/0002_businesses.sql
DA-15: Çmimet EUR vijnë nga DB, por feature arrays nuk kanë schema të plotë me enum/limit/version dhe kuotat e reklamuara nuk lidhen me enforcement të planit. Entitlements aktive nuk janë subscription lifecycle me provider.</s:t>
        </s:is>
      </s:c>
      <s:c r="AE146" s="42" t="inlineStr">
        <s:is>
          <s:t>Pjesërisht — kërkon zhvillim</s:t>
        </s:is>
      </s:c>
      <s:c r="AF146" s="42" t="inlineStr">
        <s:is>
          <s:t>Po</s:t>
        </s:is>
      </s:c>
      <s:c r="AG146" s="42" t="inlineStr">
        <s:is>
          <s:t>Po — përzier me punë të jashtme</s:t>
        </s:is>
      </s:c>
      <s:c r="AH146" s="42" t="inlineStr">
        <s:is>
          <s:t>Nuk ka subscription trial→active/past_due/grace/cancel/refund/chargeback state machine ose provider webhooks/out-of-order tests. 2.</s:t>
        </s:is>
      </s:c>
      <s:c r="AI146" s="42" t="inlineStr">
        <s:is>
          <s:t>docs/backlog-code-handoff-2026-09-08.json#S7-A04</s:t>
        </s:is>
      </s:c>
      <s:c r="AJ146" s="42" t="inlineStr">
        <s:is>
          <s:t>Programmer A / review: Programmer B</s:t>
        </s:is>
      </s:c>
    </s:row>
    <s:row r="147" ht="180" customHeight="1" s="48">
      <s:c r="A147" s="17" t="inlineStr">
        <s:is>
          <s:t>S7-A05</s:t>
        </s:is>
      </s:c>
      <s:c r="B147" s="18" t="inlineStr">
        <s:is>
          <s:t>S7</s:t>
        </s:is>
      </s:c>
      <s:c r="C147" s="18" t="inlineStr">
        <s:is>
          <s:t>Privacy/Legal</s:t>
        </s:is>
      </s:c>
      <s:c r="D147" s="12" t="inlineStr">
        <s:is>
          <s:t>Implement retention/consent/rights metadata contracts</s:t>
        </s:is>
      </s:c>
      <s:c r="E147" s="13" t="inlineStr">
        <s:is>
          <s:t>Add asset rights/likeness metadata, retention classes, provider data-deletion callback handler and compliance export metadata.</s:t>
        </s:is>
      </s:c>
      <s:c r="F147" s="13" t="inlineStr">
        <s:is>
          <s:t>Deletion callback authenticated/verified per provider mechanism; rights metadata enforceable by policy; retention jobs resumable.</s:t>
        </s:is>
      </s:c>
      <s:c r="G147" s="18" t="inlineStr">
        <s:is>
          <s:t>S6-A04,S6-A05,S6-A12</s:t>
        </s:is>
      </s:c>
      <s:c r="H147" s="18" t="inlineStr">
        <s:is>
          <s:t>P0</s:t>
        </s:is>
      </s:c>
      <s:c r="I147" s="18" t="inlineStr">
        <s:is>
          <s:t>Programmer A</s:t>
        </s:is>
      </s:c>
      <s:c r="J147" s="18" t="inlineStr">
        <s:is>
          <s:t>Programmer B</s:t>
        </s:is>
      </s:c>
      <s:c r="K147" s="18" t="n">
        <s:v>8</s:v>
      </s:c>
      <s:c r="L147" s="28" t="inlineStr">
        <s:is>
          <s:t>In Progress</s:t>
        </s:is>
      </s:c>
      <s:c r="M147" s="13" t="inlineStr">
        <s:is>
          <s:t>Integration + deletion tests</s:t>
        </s:is>
      </s:c>
      <s:c r="N147" s="18" t="inlineStr">
        <s:is>
          <s:t>RG-09,RG-16</s:t>
        </s:is>
      </s:c>
      <s:c r="O147" s="13" t="inlineStr">
        <s:is>
          <s:t>Legal policy configuration documented; no fake consent.</s:t>
        </s:is>
      </s:c>
      <s:c r="P147" s="18" t="inlineStr">
        <s:is>
          <s:t>data lifecycle contracts</s:t>
        </s:is>
      </s:c>
      <s:c r="Q147" s="14">
        <s:f>INDEX('01_ROADMAP'!$C$5:$C$15,MATCH(B147,'01_ROADMAP'!$A$5:$A$15,0))</s:f>
        <s:v>46370.0</s:v>
      </s:c>
      <s:c r="R147" s="14">
        <s:f>INDEX('01_ROADMAP'!$D$5:$D$15,MATCH(B147,'01_ROADMAP'!$A$5:$A$15,0))</s:f>
        <s:v>46383.0</s:v>
      </s:c>
      <s:c r="S147" s="29" t="inlineStr">
        <s:is>
          <s:t>docs/backlog-partial-progress-2026-09-08.json#S7-A05</s:t>
        </s:is>
      </s:c>
      <s:c r="T147" s="13" t="inlineStr">
        <s:is>
          <s:t>SECURITY/LEGAL</s:t>
        </s:is>
      </s:c>
      <s:c r="U147" s="13" t="inlineStr">
        <s:is>
          <s:t>Privacy</s:t>
        </s:is>
      </s:c>
      <s:c r="V147" s="13" t="inlineStr">
        <s:is>
          <s:t>GA</s:t>
        </s:is>
      </s:c>
      <s:c r="W147" s="13" t="inlineStr">
        <s:is>
          <s:t>Asset detail shows rights status and remediation.</s:t>
        </s:is>
      </s:c>
      <s:c r="X147" s="13" t="inlineStr">
        <s:is>
          <s:t>Integration + deletion tests</s:t>
        </s:is>
      </s:c>
      <s:c r="Y147" s="54" t="inlineStr">
        <s:is>
          <s:t>Pjesërisht</s:t>
        </s:is>
      </s:c>
      <s:c r="Z147" s="55" t="inlineStr">
        <s:is>
          <s:t>Retention policy ruhet në PostgreSQL dhe maintenance job pastron të dhëna të skaduara me advisory lock. Tërheqja e të drejtave të medias është e enforce-ueshme, anulon përdorimin e ardhshëm dhe ruan historikun/auditin.</s:t>
        </s:is>
      </s:c>
      <s:c r="AA147" s="55" t="inlineStr">
        <s:is>
          <s:t>Mbeten provider-authenticated deletion callback, organization purge resumable, retention classes/holds dhe legal owner approval; RG-09/RG-16 mbeten të hapura.</s:t>
        </s:is>
      </s:c>
      <s:c r="AB147" s="55" t="inlineStr">
        <s:is>
          <s:t>Prova e kërkuar nga backlog-u: Integration + deletion tests
Kriteri për t'u verifikuar (nuk deklarohet i kaluar): Deletion callback authenticated/verified per provider mechanism; rights metadata enforceable by policy; retention jobs resumable.
DA-11: Revoko të drejtat e asset-it në postim të planifikuar, verifiko bllokimin e publikimit; provo purge/resume dhe përjashtimet e dokumentuara të ruajtjes.
Pranimi kërkon edhe gate-et: RG-09,RG-16. Asnjë gate nuk është shënuar Passed nga ky audit.</s:t>
        </s:is>
      </s:c>
      <s:c r="AC147" s="55" t="inlineStr">
        <s:is>
          <s:t>Retention integration test dhe rights-withdrawal browser flow kaluan; 0012/0013 janë aplikuar lokalisht.</s:t>
        </s:is>
      </s:c>
      <s:c r="AD147" s="55" t="inlineStr">
        <s:is>
          <s:t>apps/web/database/migrations/0012_retention_policy.sql
apps/web/server/utils/retention.ts
apps/web/server/plugins/maintenance.ts
apps/web/server/api/media/[id]/rights.post.ts</s:t>
        </s:is>
      </s:c>
      <s:c r="AE147" s="42" t="inlineStr">
        <s:is>
          <s:t>Pjesërisht — kërkon zhvillim</s:t>
        </s:is>
      </s:c>
      <s:c r="AF147" s="42" t="inlineStr">
        <s:is>
          <s:t>Po</s:t>
        </s:is>
      </s:c>
      <s:c r="AG147" s="42" t="inlineStr">
        <s:is>
          <s:t>Po — përzier me punë të jashtme</s:t>
        </s:is>
      </s:c>
      <s:c r="AH147" s="42" t="inlineStr">
        <s:is>
          <s:t>Mbeten provider-authenticated deletion callback, organization purge resumable, retention classes/holds dhe legal owner approval; RG-09/RG-16 mbeten të hapura.</s:t>
        </s:is>
      </s:c>
      <s:c r="AI147" s="42" t="inlineStr">
        <s:is>
          <s:t>docs/backlog-code-handoff-2026-09-08.json#S7-A05</s:t>
        </s:is>
      </s:c>
      <s:c r="AJ147" s="42" t="inlineStr">
        <s:is>
          <s:t>Programmer A / review: Programmer B</s:t>
        </s:is>
      </s:c>
    </s:row>
    <s:row r="148" ht="159" customHeight="1" s="48">
      <s:c r="A148" s="17" t="inlineStr">
        <s:is>
          <s:t>S7-A06</s:t>
        </s:is>
      </s:c>
      <s:c r="B148" s="18" t="inlineStr">
        <s:is>
          <s:t>S7</s:t>
        </s:is>
      </s:c>
      <s:c r="C148" s="18" t="inlineStr">
        <s:is>
          <s:t>Admin Platform</s:t>
        </s:is>
      </s:c>
      <s:c r="D148" s="12" t="inlineStr">
        <s:is>
          <s:t>Build admin/support operations APIs</s:t>
        </s:is>
      </s:c>
      <s:c r="E148" s="13" t="inlineStr">
        <s:is>
          <s:t>Create privileged APIs for tenant metadata search, queue/job diagnostics, publishing attempts, integration health, AI spend, flags and safe retry/cancel actions.</s:t>
        </s:is>
      </s:c>
      <s:c r="F148" s="13" t="inlineStr">
        <s:is>
          <s:t>No raw token/secret endpoint; every mutating admin action requires reason and audit; tenant impersonation absent by default.</s:t>
        </s:is>
      </s:c>
      <s:c r="G148" s="18" t="inlineStr">
        <s:is>
          <s:t>S6-A01,S6-A02,S7-A11</s:t>
        </s:is>
      </s:c>
      <s:c r="H148" s="18" t="inlineStr">
        <s:is>
          <s:t>P0</s:t>
        </s:is>
      </s:c>
      <s:c r="I148" s="18" t="inlineStr">
        <s:is>
          <s:t>Programmer A</s:t>
        </s:is>
      </s:c>
      <s:c r="J148" s="18" t="inlineStr">
        <s:is>
          <s:t>Programmer B</s:t>
        </s:is>
      </s:c>
      <s:c r="K148" s="18" t="n">
        <s:v>8</s:v>
      </s:c>
      <s:c r="L148" s="30" t="inlineStr">
        <s:is>
          <s:t>Not Started</s:t>
        </s:is>
      </s:c>
      <s:c r="M148" s="13" t="inlineStr">
        <s:is>
          <s:t>Authz + audit + API tests</s:t>
        </s:is>
      </s:c>
      <s:c r="N148" s="18" t="inlineStr">
        <s:is>
          <s:t>RG-18</s:t>
        </s:is>
      </s:c>
      <s:c r="O148" s="13" t="inlineStr">
        <s:is>
          <s:t>Least privilege admin role; audited.</s:t>
        </s:is>
      </s:c>
      <s:c r="P148" s="18" t="inlineStr">
        <s:is>
          <s:t>admin operations APIs</s:t>
        </s:is>
      </s:c>
      <s:c r="Q148" s="14">
        <s:f>INDEX('01_ROADMAP'!$C$5:$C$15,MATCH(B148,'01_ROADMAP'!$A$5:$A$15,0))</s:f>
        <s:v>46370.0</s:v>
      </s:c>
      <s:c r="R148" s="14">
        <s:f>INDEX('01_ROADMAP'!$D$5:$D$15,MATCH(B148,'01_ROADMAP'!$A$5:$A$15,0))</s:f>
        <s:v>46383.0</s:v>
      </s:c>
      <s:c r="S148" s="29" t="inlineStr">
        <s:is>
          <s:t>docs/backlog-deep-audit-2026-09-07.json#S7-A06</s:t>
        </s:is>
      </s:c>
      <s:c r="T148" s="13" t="inlineStr">
        <s:is>
          <s:t>OPS/SECURITY</s:t>
        </s:is>
      </s:c>
      <s:c r="U148" s="13" t="inlineStr">
        <s:is>
          <s:t>Admin/Support</s:t>
        </s:is>
      </s:c>
      <s:c r="V148" s="13" t="inlineStr">
        <s:is>
          <s:t>GA</s:t>
        </s:is>
      </s:c>
      <s:c r="W148" s="13" t="inlineStr">
        <s:is>
          <s:t>Supports support console without DB access.</s:t>
        </s:is>
      </s:c>
      <s:c r="X148" s="13" t="inlineStr">
        <s:is>
          <s:t>Authz + audit + API tests</s:t>
        </s:is>
      </s:c>
      <s:c r="Y148" s="57" t="inlineStr">
        <s:is>
          <s:t>Pa filluar</s:t>
        </s:is>
      </s:c>
      <s:c r="Z148" s="56" t="inlineStr">
        <s:is>
          <s:t>Admin/support console/API nuk gjendet në rrugët aktive.</s:t>
        </s:is>
      </s:c>
      <s:c r="AA148" s="56" t="inlineStr">
        <s:is>
          <s:t>1. Krijo API privilegjesh për tenant search, queue/jobs/attempts/connection/AI spend/flags dhe retry/cancel të sigurta; çdo mutacion me reason/audit dhe pa token/impersonation default.
2. DA-04: Përfundo zgjidhjen e rezultatit me prova nga provider-i dhe një rrugë të audituar rikuperimi/rilidhjeje që nuk ridërgon verbërisht postimin.</s:t>
        </s:is>
      </s:c>
      <s:c r="AB148" s="56" t="inlineStr">
        <s:is>
          <s:t>Prova e kërkuar nga backlog-u: Authz + audit + API tests
Kriteri për t'u verifikuar (nuk deklarohet i kaluar): No raw token/secret endpoint; every mutating admin action requires reason and audit; tenant impersonation absent by default.
DA-04: Timeout pas efektit të jashtëm → uncertain → disconnect → verifikim rezultati → reconnect; ruaj identitetin e target-it dhe mos dyfisho.
Pranimi kërkon edhe gate-et: RG-18. Asnjë gate nuk është shënuar Passed nga ky audit.</s:t>
        </s:is>
      </s:c>
      <s:c r="AC148" s="56" t="inlineStr">
        <s:is>
          <s:t>U rishikuan kodi/artefaktet dhe u kërkua implementimi i kësaj detyre. Nuk ka provë të ekzekutuar specifike që mbyll të gjithë kriterin; kontrollet globale nuk e zëvendësojnë atë.</s:t>
        </s:is>
      </s:c>
      <s:c r="AD148" s="56" t="inlineStr">
        <s:is>
          <s:t>apps/web/server/api/meta/disconnect.post.ts:26
apps/web/server/api/meta/callback.get.ts:38
apps/web/server/api/meta/select.post.ts:50
DA-04: Disconnect ruan punën uncertain por fshin lidhjen. Callback/select refuzojnë lidhje kur ekziston uncertain. Mungon reconciler/API operative që ta zgjidhë gjendjen.</s:t>
        </s:is>
      </s:c>
      <s:c r="AE148" s="42" t="inlineStr">
        <s:is>
          <s:t>Pa filluar</s:t>
        </s:is>
      </s:c>
      <s:c r="AF148" s="42" t="inlineStr">
        <s:is>
          <s:t>Po</s:t>
        </s:is>
      </s:c>
      <s:c r="AG148" s="42" t="inlineStr">
        <s:is>
          <s:t>Po, pas implementimit</s:t>
        </s:is>
      </s:c>
      <s:c r="AH148" s="42" t="inlineStr">
        <s:is>
          <s:t>Krijo API privilegjesh për tenant search, queue/jobs/attempts/connection/AI spend/flags dhe retry/cancel të sigurta; çdo mutacion me reason/audit dhe pa token/impersonation default. 2.</s:t>
        </s:is>
      </s:c>
      <s:c r="AI148" s="42" t="inlineStr">
        <s:is>
          <s:t>docs/backlog-code-handoff-2026-09-08.json#S7-A06</s:t>
        </s:is>
      </s:c>
      <s:c r="AJ148" s="42" t="inlineStr">
        <s:is>
          <s:t>Programmer A / review: Programmer B</s:t>
        </s:is>
      </s:c>
    </s:row>
    <s:row r="149" ht="155.1" customHeight="1" s="48">
      <s:c r="A149" s="17" t="inlineStr">
        <s:is>
          <s:t>S7-A07</s:t>
        </s:is>
      </s:c>
      <s:c r="B149" s="18" t="inlineStr">
        <s:is>
          <s:t>S7</s:t>
        </s:is>
      </s:c>
      <s:c r="C149" s="18" t="inlineStr">
        <s:is>
          <s:t>AI Security</s:t>
        </s:is>
      </s:c>
      <s:c r="D149" s="12" t="inlineStr">
        <s:is>
          <s:t>Harden prompt-injection/untrusted-content boundaries</s:t>
        </s:is>
      </s:c>
      <s:c r="E149" s="13" t="inlineStr">
        <s:is>
          <s:t>Treat imported captions, website text, asset OCR/metadata and user-provided content as untrusted data; isolate instructions, tool allowlists and structured schemas.</s:t>
        </s:is>
      </s:c>
      <s:c r="F149" s="13" t="inlineStr">
        <s:is>
          <s:t>Known prompt-injection fixtures cannot invoke unauthorized tools/change policy; model output still passes policy/domain validation.</s:t>
        </s:is>
      </s:c>
      <s:c r="G149" s="18" t="inlineStr">
        <s:is>
          <s:t>S3-A05,S3-A08,S6-A12</s:t>
        </s:is>
      </s:c>
      <s:c r="H149" s="18" t="inlineStr">
        <s:is>
          <s:t>P0</s:t>
        </s:is>
      </s:c>
      <s:c r="I149" s="18" t="inlineStr">
        <s:is>
          <s:t>Programmer A</s:t>
        </s:is>
      </s:c>
      <s:c r="J149" s="18" t="inlineStr">
        <s:is>
          <s:t>Programmer B</s:t>
        </s:is>
      </s:c>
      <s:c r="K149" s="18" t="n">
        <s:v>8</s:v>
      </s:c>
      <s:c r="L149" s="28" t="inlineStr">
        <s:is>
          <s:t>In Progress</s:t>
        </s:is>
      </s:c>
      <s:c r="M149" s="13" t="inlineStr">
        <s:is>
          <s:t>Adversarial eval</s:t>
        </s:is>
      </s:c>
      <s:c r="N149" s="18" t="inlineStr">
        <s:is>
          <s:t>RG-16,RG-12</s:t>
        </s:is>
      </s:c>
      <s:c r="O149" s="13" t="inlineStr">
        <s:is>
          <s:t>No external content can modify system/tool policy.</s:t>
        </s:is>
      </s:c>
      <s:c r="P149" s="18" t="inlineStr">
        <s:is>
          <s:t>AI injection defense suite</s:t>
        </s:is>
      </s:c>
      <s:c r="Q149" s="14">
        <s:f>INDEX('01_ROADMAP'!$C$5:$C$15,MATCH(B149,'01_ROADMAP'!$A$5:$A$15,0))</s:f>
        <s:v>46370.0</s:v>
      </s:c>
      <s:c r="R149" s="14">
        <s:f>INDEX('01_ROADMAP'!$D$5:$D$15,MATCH(B149,'01_ROADMAP'!$A$5:$A$15,0))</s:f>
        <s:v>46383.0</s:v>
      </s:c>
      <s:c r="S149" s="29" t="inlineStr">
        <s:is>
          <s:t>docs/backlog-deep-audit-2026-09-07.json#S7-A07</s:t>
        </s:is>
      </s:c>
      <s:c r="T149" s="13" t="inlineStr">
        <s:is>
          <s:t>AI/SECURITY</s:t>
        </s:is>
      </s:c>
      <s:c r="U149" s="13" t="inlineStr">
        <s:is>
          <s:t>AI Platform</s:t>
        </s:is>
      </s:c>
      <s:c r="V149" s="13" t="inlineStr">
        <s:is>
          <s:t>GA</s:t>
        </s:is>
      </s:c>
      <s:c r="W149" s="13" t="inlineStr">
        <s:is>
          <s:t>Copilot shows tool proposal, never hidden external instruction.</s:t>
        </s:is>
      </s:c>
      <s:c r="X149" s="13" t="inlineStr">
        <s:is>
          <s:t>Adversarial eval</s:t>
        </s:is>
      </s:c>
      <s:c r="Y149" s="54" t="inlineStr">
        <s:is>
          <s:t>Pjesërisht</s:t>
        </s:is>
      </s:c>
      <s:c r="Z149" s="55" t="inlineStr">
        <s:is>
          <s:t>Prompt-i trajton JSON/social captions si të dhëna të pabesuara; history vetëm për stil; output i strukturuar; modeli nuk merr publikim/tools.</s:t>
        </s:is>
      </s:c>
      <s:c r="AA149" s="55" t="inlineStr">
        <s:is>
          <s:t>1. Nuk ka adversarial injection eval suite, provenance/policy enforcement të claim-eve ose tool allowlist test. Prompt-i vetëm nuk provon rezistencë ndaj injection.</s:t>
        </s:is>
      </s:c>
      <s:c r="AB149" s="55" t="inlineStr">
        <s:is>
          <s:t>Prova e kërkuar nga backlog-u: Adversarial eval
Kriteri për t'u verifikuar (nuk deklarohet i kaluar): Known prompt-injection fixtures cannot invoke unauthorized tools/change policy; model output still passes policy/domain validation.
Pranimi kërkon edhe gate-et: RG-16,RG-12. Asnjë gate nuk është shënuar Passed nga ky audit.</s:t>
        </s:is>
      </s:c>
      <s:c r="AC149" s="55" t="inlineStr">
        <s:is>
          <s:t>U rishikuan kodi/artefaktet dhe u kërkua implementimi i kësaj detyre. Nuk ka provë të ekzekutuar specifike që mbyll të gjithë kriterin; kontrollet globale nuk e zëvendësojnë atë.</s:t>
        </s:is>
      </s:c>
      <s:c r="AD149" s="55" t="inlineStr">
        <s:is>
          <s:t>apps/web/server/api/ai/captions.post.ts</s:t>
        </s:is>
      </s:c>
      <s:c r="AE149" s="42" t="inlineStr">
        <s:is>
          <s:t>Pjesërisht — kërkon zhvillim</s:t>
        </s:is>
      </s:c>
      <s:c r="AF149" s="42" t="inlineStr">
        <s:is>
          <s:t>Po</s:t>
        </s:is>
      </s:c>
      <s:c r="AG149" s="42" t="inlineStr">
        <s:is>
          <s:t>Po, pas implementimit</s:t>
        </s:is>
      </s:c>
      <s:c r="AH149" s="42" t="inlineStr">
        <s:is>
          <s:t>Nuk ka adversarial injection eval suite, provenance/policy enforcement të claim-eve ose tool allowlist test. Prompt-i vetëm nuk provon rezistencë ndaj injection.</s:t>
        </s:is>
      </s:c>
      <s:c r="AI149" s="42" t="inlineStr">
        <s:is>
          <s:t>docs/backlog-code-handoff-2026-09-08.json#S7-A07</s:t>
        </s:is>
      </s:c>
      <s:c r="AJ149" s="42" t="inlineStr">
        <s:is>
          <s:t>Programmer A / review: Programmer B</s:t>
        </s:is>
      </s:c>
    </s:row>
    <s:row r="150" ht="155.1" customHeight="1" s="48">
      <s:c r="A150" s="17" t="inlineStr">
        <s:is>
          <s:t>S7-A08</s:t>
        </s:is>
      </s:c>
      <s:c r="B150" s="18" t="inlineStr">
        <s:is>
          <s:t>S7</s:t>
        </s:is>
      </s:c>
      <s:c r="C150" s="18" t="inlineStr">
        <s:is>
          <s:t>AI Governance</s:t>
        </s:is>
      </s:c>
      <s:c r="D150" s="12" t="inlineStr">
        <s:is>
          <s:t>Add model/prompt/policy canary promotion workflow</s:t>
        </s:is>
      </s:c>
      <s:c r="E150" s="13" t="inlineStr">
        <s:is>
          <s:t>Store candidate/current versions, eval result, change reason and rollback pointer; allow cohort/tenant canary before global promotion.</s:t>
        </s:is>
      </s:c>
      <s:c r="F150" s="13" t="inlineStr">
        <s:is>
          <s:t>Production promotion requires threshold evidence; rollback restores previous route without data migration; version visible in job records.</s:t>
        </s:is>
      </s:c>
      <s:c r="G150" s="18" t="inlineStr">
        <s:is>
          <s:t>S3-A02,S3-A10,S7-A11</s:t>
        </s:is>
      </s:c>
      <s:c r="H150" s="18" t="inlineStr">
        <s:is>
          <s:t>P1</s:t>
        </s:is>
      </s:c>
      <s:c r="I150" s="18" t="inlineStr">
        <s:is>
          <s:t>Programmer A</s:t>
        </s:is>
      </s:c>
      <s:c r="J150" s="18" t="inlineStr">
        <s:is>
          <s:t>Programmer B</s:t>
        </s:is>
      </s:c>
      <s:c r="K150" s="18" t="n">
        <s:v>7</s:v>
      </s:c>
      <s:c r="L150" s="30" t="inlineStr">
        <s:is>
          <s:t>Not Started</s:t>
        </s:is>
      </s:c>
      <s:c r="M150" s="13" t="inlineStr">
        <s:is>
          <s:t>Eval gate + rollback test</s:t>
        </s:is>
      </s:c>
      <s:c r="N150" s="18" t="inlineStr">
        <s:is>
          <s:t>RG-06,RG-16</s:t>
        </s:is>
      </s:c>
      <s:c r="O150" s="13" t="inlineStr">
        <s:is>
          <s:t>No direct model alias change in production config without record.</s:t>
        </s:is>
      </s:c>
      <s:c r="P150" s="18" t="inlineStr">
        <s:is>
          <s:t>AI promotion workflow</s:t>
        </s:is>
      </s:c>
      <s:c r="Q150" s="14">
        <s:f>INDEX('01_ROADMAP'!$C$5:$C$15,MATCH(B150,'01_ROADMAP'!$A$5:$A$15,0))</s:f>
        <s:v>46370.0</s:v>
      </s:c>
      <s:c r="R150" s="14">
        <s:f>INDEX('01_ROADMAP'!$D$5:$D$15,MATCH(B150,'01_ROADMAP'!$A$5:$A$15,0))</s:f>
        <s:v>46383.0</s:v>
      </s:c>
      <s:c r="S150" s="29" t="inlineStr">
        <s:is>
          <s:t>docs/backlog-deep-audit-2026-09-07.json#S7-A08</s:t>
        </s:is>
      </s:c>
      <s:c r="T150" s="13" t="inlineStr">
        <s:is>
          <s:t>AI/DEVOPS</s:t>
        </s:is>
      </s:c>
      <s:c r="U150" s="13" t="inlineStr">
        <s:is>
          <s:t>AI Platform</s:t>
        </s:is>
      </s:c>
      <s:c r="V150" s="13" t="inlineStr">
        <s:is>
          <s:t>GA</s:t>
        </s:is>
      </s:c>
      <s:c r="W150" s="13" t="inlineStr">
        <s:is>
          <s:t>Admin can view versions/status, not secrets.</s:t>
        </s:is>
      </s:c>
      <s:c r="X150" s="13" t="inlineStr">
        <s:is>
          <s:t>Eval gate + rollback test</s:t>
        </s:is>
      </s:c>
      <s:c r="Y150" s="57" t="inlineStr">
        <s:is>
          <s:t>Pa filluar</s:t>
        </s:is>
      </s:c>
      <s:c r="Z150" s="56" t="inlineStr">
        <s:is>
          <s:t>Nuk ka version registry/canary promotion ose spend anomaly/circuit-breaker workflow.</s:t>
        </s:is>
      </s:c>
      <s:c r="AA150" s="56" t="inlineStr">
        <s:is>
          <s:t>1. Krijo candidate/current version registry për model/prompt/policy, eval evidence, change reason dhe rollback pointer; cohort canary para promotion global dhe version në job records.</s:t>
        </s:is>
      </s:c>
      <s:c r="AB150" s="56" t="inlineStr">
        <s:is>
          <s:t>Prova e kërkuar nga backlog-u: Eval gate + rollback test
Kriteri për t'u verifikuar (nuk deklarohet i kaluar): Production promotion requires threshold evidence; rollback restores previous route without data migration; version visible in job records.
Pranimi kërkon edhe gate-et: RG-06,RG-16. Asnjë gate nuk është shënuar Passed nga ky audit.</s:t>
        </s:is>
      </s:c>
      <s:c r="AC150" s="56" t="inlineStr">
        <s:is>
          <s:t>U rishikuan kodi/artefaktet dhe u kërkua implementimi i kësaj detyre. Nuk ka provë të ekzekutuar specifike që mbyll të gjithë kriterin; kontrollet globale nuk e zëvendësojnë atë.</s:t>
        </s:is>
      </s:c>
      <s:c r="AD150" s="56" t="inlineStr">
        <s:is>
          <s:t>Nuk u gjet implementim specifik; shiko kriterin dhe hapat në AA/AB.</s:t>
        </s:is>
      </s:c>
      <s:c r="AE150" s="42" t="inlineStr">
        <s:is>
          <s:t>Pa filluar</s:t>
        </s:is>
      </s:c>
      <s:c r="AF150" s="42" t="inlineStr">
        <s:is>
          <s:t>Po</s:t>
        </s:is>
      </s:c>
      <s:c r="AG150" s="42" t="inlineStr">
        <s:is>
          <s:t>Po, pas implementimit</s:t>
        </s:is>
      </s:c>
      <s:c r="AH150" s="42" t="inlineStr">
        <s:is>
          <s:t>Krijo candidate/current version registry për model/prompt/policy, eval evidence, change reason dhe rollback pointer; cohort canary para promotion global dhe version në job records.</s:t>
        </s:is>
      </s:c>
      <s:c r="AI150" s="42" t="inlineStr">
        <s:is>
          <s:t>docs/backlog-code-handoff-2026-09-08.json#S7-A08</s:t>
        </s:is>
      </s:c>
      <s:c r="AJ150" s="42" t="inlineStr">
        <s:is>
          <s:t>Programmer A / review: Programmer B</s:t>
        </s:is>
      </s:c>
    </s:row>
    <s:row r="151" ht="159" customHeight="1" s="48">
      <s:c r="A151" s="17" t="inlineStr">
        <s:is>
          <s:t>S7-A09</s:t>
        </s:is>
      </s:c>
      <s:c r="B151" s="18" t="inlineStr">
        <s:is>
          <s:t>S7</s:t>
        </s:is>
      </s:c>
      <s:c r="C151" s="18" t="inlineStr">
        <s:is>
          <s:t>Cost Operations</s:t>
        </s:is>
      </s:c>
      <s:c r="D151" s="12" t="inlineStr">
        <s:is>
          <s:t>Implement spend anomaly detection and circuit breaker runbook hooks</s:t>
        </s:is>
      </s:c>
      <s:c r="E151" s="13" t="inlineStr">
        <s:is>
          <s:t>Aggregate AI/media cost rate and detect loops/spikes by org/capability; provide manual/automatic breaker with alert and recovery procedure.</s:t>
        </s:is>
      </s:c>
      <s:c r="F151" s="13" t="inlineStr">
        <s:is>
          <s:t>Synthetic loop triggers alert/breaker within threshold; breaker state audited; recovery requires explicit operator action or bounded policy.</s:t>
        </s:is>
      </s:c>
      <s:c r="G151" s="18" t="inlineStr">
        <s:is>
          <s:t>S6-A13,S6-A02</s:t>
        </s:is>
      </s:c>
      <s:c r="H151" s="18" t="inlineStr">
        <s:is>
          <s:t>P0</s:t>
        </s:is>
      </s:c>
      <s:c r="I151" s="18" t="inlineStr">
        <s:is>
          <s:t>Programmer A</s:t>
        </s:is>
      </s:c>
      <s:c r="J151" s="18" t="inlineStr">
        <s:is>
          <s:t>Programmer B</s:t>
        </s:is>
      </s:c>
      <s:c r="K151" s="18" t="n">
        <s:v>6</s:v>
      </s:c>
      <s:c r="L151" s="30" t="inlineStr">
        <s:is>
          <s:t>Not Started</s:t>
        </s:is>
      </s:c>
      <s:c r="M151" s="13" t="inlineStr">
        <s:is>
          <s:t>Fault injection</s:t>
        </s:is>
      </s:c>
      <s:c r="N151" s="18" t="inlineStr">
        <s:is>
          <s:t>RG-18</s:t>
        </s:is>
      </s:c>
      <s:c r="O151" s="13" t="inlineStr">
        <s:is>
          <s:t>Avoid exposing provider account details to tenant.</s:t>
        </s:is>
      </s:c>
      <s:c r="P151" s="18" t="inlineStr">
        <s:is>
          <s:t>cost anomaly controls</s:t>
        </s:is>
      </s:c>
      <s:c r="Q151" s="14">
        <s:f>INDEX('01_ROADMAP'!$C$5:$C$15,MATCH(B151,'01_ROADMAP'!$A$5:$A$15,0))</s:f>
        <s:v>46370.0</s:v>
      </s:c>
      <s:c r="R151" s="14">
        <s:f>INDEX('01_ROADMAP'!$D$5:$D$15,MATCH(B151,'01_ROADMAP'!$A$5:$A$15,0))</s:f>
        <s:v>46383.0</s:v>
      </s:c>
      <s:c r="S151" s="29" t="inlineStr">
        <s:is>
          <s:t>docs/backlog-deep-audit-2026-09-07.json#S7-A09</s:t>
        </s:is>
      </s:c>
      <s:c r="T151" s="13" t="inlineStr">
        <s:is>
          <s:t>OPS/AI</s:t>
        </s:is>
      </s:c>
      <s:c r="U151" s="13" t="inlineStr">
        <s:is>
          <s:t>Admin/Support</s:t>
        </s:is>
      </s:c>
      <s:c r="V151" s="13" t="inlineStr">
        <s:is>
          <s:t>GA</s:t>
        </s:is>
      </s:c>
      <s:c r="W151" s="13" t="inlineStr">
        <s:is>
          <s:t>Admin cost panel consumes breaker state.</s:t>
        </s:is>
      </s:c>
      <s:c r="X151" s="13" t="inlineStr">
        <s:is>
          <s:t>Fault injection</s:t>
        </s:is>
      </s:c>
      <s:c r="Y151" s="57" t="inlineStr">
        <s:is>
          <s:t>Pa filluar</s:t>
        </s:is>
      </s:c>
      <s:c r="Z151" s="55" t="inlineStr">
        <s:is>
          <s:t>Nuk ka version registry/canary promotion ose spend anomaly/circuit-breaker workflow.</s:t>
        </s:is>
      </s:c>
      <s:c r="AA151" s="55" t="inlineStr">
        <s:is>
          <s:t>1. Agrego shpejtësinë e shpenzimit AI/media, zbulo loops/spikes dhe vendos breaker me audit/alert/runbook; provo loop sintetik dhe recovery të kontrolluar nga operatori.
2. DA-12: Ndaj rate limit nga kreditë monetare; ruaj usage dhe gjendjen e rezervimit me concurrency guards dhe politikë të qartë për dështimet.</s:t>
        </s:is>
      </s:c>
      <s:c r="AB151" s="55" t="inlineStr">
        <s:is>
          <s:t>Prova e kërkuar nga backlog-u: Fault injection
Kriteri për t'u verifikuar (nuk deklarohet i kaluar): Synthetic loop triggers alert/breaker within threshold; breaker state audited; recovery requires explicit operator action or bounded policy.
DA-12: Kërkesa paralele, provider timeout/error/duplicate, release vetëm një herë dhe ndalim para tejkalimit të buxhetit; replay i kostove për secilin plan.
Pranimi kërkon edhe gate-et: RG-18. Asnjë gate nuk është shënuar Passed nga ky audit.</s:t>
        </s:is>
      </s:c>
      <s:c r="AC151" s="55" t="inlineStr">
        <s:is>
          <s:t>U rishikuan kodi/artefaktet dhe u kërkua implementimi i kësaj detyre. Nuk ka provë të ekzekutuar specifike që mbyll të gjithë kriterin; kontrollet globale nuk e zëvendësojnë atë.</s:t>
        </s:is>
      </s:c>
      <s:c r="AD151" s="55" t="inlineStr">
        <s:is>
          <s:t>apps/web/server/api/ai/captions.post.ts
apps/web/database/migrations/0006_ai_usage.sql
DA-12: Kërkesat kanë UUID dhe limit ditor, por mungojnë estimate/reserve/commit/release për kosto reale, usage tokens/images, refund policy dhe anomaly breaker. Dështimi pas rezervimit konsumon numëruesin e kërkesave.</s:t>
        </s:is>
      </s:c>
      <s:c r="AE151" s="42" t="inlineStr">
        <s:is>
          <s:t>Pa filluar</s:t>
        </s:is>
      </s:c>
      <s:c r="AF151" s="42" t="inlineStr">
        <s:is>
          <s:t>Po</s:t>
        </s:is>
      </s:c>
      <s:c r="AG151" s="42" t="inlineStr">
        <s:is>
          <s:t>Po, pas implementimit</s:t>
        </s:is>
      </s:c>
      <s:c r="AH151" s="42" t="inlineStr">
        <s:is>
          <s:t>Agrego shpejtësinë e shpenzimit AI/media, zbulo loops/spikes dhe vendos breaker me audit/alert/runbook; provo loop sintetik dhe recovery të kontrolluar nga operatori. 2.</s:t>
        </s:is>
      </s:c>
      <s:c r="AI151" s="42" t="inlineStr">
        <s:is>
          <s:t>docs/backlog-code-handoff-2026-09-08.json#S7-A09</s:t>
        </s:is>
      </s:c>
      <s:c r="AJ151" s="42" t="inlineStr">
        <s:is>
          <s:t>Programmer A / review: Programmer B</s:t>
        </s:is>
      </s:c>
    </s:row>
    <s:row r="152" ht="155.1" customHeight="1" s="48">
      <s:c r="A152" s="17" t="inlineStr">
        <s:is>
          <s:t>S7-A10</s:t>
        </s:is>
      </s:c>
      <s:c r="B152" s="18" t="inlineStr">
        <s:is>
          <s:t>S7</s:t>
        </s:is>
      </s:c>
      <s:c r="C152" s="18" t="inlineStr">
        <s:is>
          <s:t>Attribution</s:t>
        </s:is>
      </s:c>
      <s:c r="D152" s="12" t="inlineStr">
        <s:is>
          <s:t>Define analytics learning windows and campaign attribution semantics</s:t>
        </s:is>
      </s:c>
      <s:c r="E152" s="13" t="inlineStr">
        <s:is>
          <s:t>Document/store metric collection windows, campaign/post linkage, denominator definitions and unavailable metric behavior; avoid false cross-channel comparability.</s:t>
        </s:is>
      </s:c>
      <s:c r="F152" s="13" t="inlineStr">
        <s:is>
          <s:t>API returns metric definition/window/source; unavailable != zero; campaign aggregation reproducible from normalized facts.</s:t>
        </s:is>
      </s:c>
      <s:c r="G152" s="18" t="inlineStr">
        <s:is>
          <s:t>S5-A02,S6-A11</s:t>
        </s:is>
      </s:c>
      <s:c r="H152" s="18" t="inlineStr">
        <s:is>
          <s:t>P1</s:t>
        </s:is>
      </s:c>
      <s:c r="I152" s="18" t="inlineStr">
        <s:is>
          <s:t>Programmer A</s:t>
        </s:is>
      </s:c>
      <s:c r="J152" s="18" t="inlineStr">
        <s:is>
          <s:t>Programmer B</s:t>
        </s:is>
      </s:c>
      <s:c r="K152" s="18" t="n">
        <s:v>7</s:v>
      </s:c>
      <s:c r="L152" s="32" t="inlineStr">
        <s:is>
          <s:t>Deferred</s:t>
        </s:is>
      </s:c>
      <s:c r="M152" s="13" t="inlineStr">
        <s:is>
          <s:t>Data fixtures + query tests</s:t>
        </s:is>
      </s:c>
      <s:c r="N152" s="18" t="inlineStr">
        <s:is>
          <s:t>RG-15</s:t>
        </s:is>
      </s:c>
      <s:c r="O152" s="13" t="inlineStr">
        <s:is>
          <s:t>No sensitive user-level tracking.</s:t>
        </s:is>
      </s:c>
      <s:c r="P152" s="18" t="inlineStr">
        <s:is>
          <s:t>analytics semantics v1</s:t>
        </s:is>
      </s:c>
      <s:c r="Q152" s="14">
        <s:f>INDEX('01_ROADMAP'!$C$5:$C$15,MATCH(B152,'01_ROADMAP'!$A$5:$A$15,0))</s:f>
        <s:v>46370.0</s:v>
      </s:c>
      <s:c r="R152" s="14">
        <s:f>INDEX('01_ROADMAP'!$D$5:$D$15,MATCH(B152,'01_ROADMAP'!$A$5:$A$15,0))</s:f>
        <s:v>46383.0</s:v>
      </s:c>
      <s:c r="S152" s="29" t="inlineStr">
        <s:is>
          <s:t>docs/backlog-deep-audit-2026-09-07.json#S7-A10</s:t>
        </s:is>
      </s:c>
      <s:c r="T152" s="13" t="inlineStr">
        <s:is>
          <s:t>BACKEND/ANALYTICS</s:t>
        </s:is>
      </s:c>
      <s:c r="U152" s="13" t="inlineStr">
        <s:is>
          <s:t>Analytics</s:t>
        </s:is>
      </s:c>
      <s:c r="V152" s="13" t="inlineStr">
        <s:is>
          <s:t>Deferred — posts scope</s:t>
        </s:is>
      </s:c>
      <s:c r="W152" s="13" t="inlineStr">
        <s:is>
          <s:t>Frontend tooltips can explain every KPI.</s:t>
        </s:is>
      </s:c>
      <s:c r="X152" s="13" t="inlineStr">
        <s:is>
          <s:t>Data fixtures + query tests</s:t>
        </s:is>
      </s:c>
      <s:c r="Y152" s="59" t="inlineStr">
        <s:is>
          <s:t>Shtyrë</s:t>
        </s:is>
      </s:c>
      <s:c r="Z152" s="56" t="inlineStr">
        <s:is>
          <s:t>Strategjia, fushatat, marketing learning dhe attribution janë shtyrë nga scope-i aktiv sipas kërkesës së përdoruesit.</s:t>
        </s:is>
      </s:c>
      <s:c r="AA152" s="56" t="inlineStr">
        <s:is>
          <s:t>1. Kur rikthehet analytics/learning: dokumento dhe kthe në API window/source/denominator dhe campaign/post linkage; unavailable veç zero-s dhe aggregations të riprodhueshme.</s:t>
        </s:is>
      </s:c>
      <s:c r="AB152" s="56" t="inlineStr">
        <s:is>
          <s:t>Prova e kërkuar nga backlog-u: Data fixtures + query tests
Kriteri për t'u verifikuar (nuk deklarohet i kaluar): API returns metric definition/window/source; unavailable != zero; campaign aggregation reproducible from normalized facts.
Pranimi kërkon edhe gate-et: RG-15. Asnjë gate nuk është shënuar Passed nga ky audit.</s:t>
        </s:is>
      </s:c>
      <s:c r="AC152" s="56" t="inlineStr">
        <s:is>
          <s:t>Shtyrë sipas scope-it; nuk është realizuar. Kriteret dhe hapat e këtij rreshti vlejnë kur moduli të rikthehet në scope.</s:t>
        </s:is>
      </s:c>
      <s:c r="AD152" s="56" t="inlineStr">
        <s:is>
          <s:t>Nuk u gjet implementim specifik; shiko kriterin dhe hapat në AA/AB.</s:t>
        </s:is>
      </s:c>
      <s:c r="AE152" s="42" t="inlineStr">
        <s:is>
          <s:t>Shtyrë nga scope-i aktual</s:t>
        </s:is>
      </s:c>
      <s:c r="AF152" s="42" t="inlineStr">
        <s:is>
          <s:t>Jo në scope-in posts-only</s:t>
        </s:is>
      </s:c>
      <s:c r="AG152" s="42" t="inlineStr">
        <s:is>
          <s:t>Jo tani</s:t>
        </s:is>
      </s:c>
      <s:c r="AH152" s="42" t="inlineStr">
        <s:is>
          <s:t>Kur rikthehet analytics/learning: dokumento dhe kthe në API window/source/denominator dhe campaign/post linkage; unavailable veç zero-s dhe aggregations të riprodhueshme.</s:t>
        </s:is>
      </s:c>
      <s:c r="AI152" s="42" t="inlineStr">
        <s:is>
          <s:t>docs/backlog-code-handoff-2026-09-08.json#S7-A10</s:t>
        </s:is>
      </s:c>
      <s:c r="AJ152" s="42" t="inlineStr">
        <s:is>
          <s:t>Programmer A / review: Programmer B</s:t>
        </s:is>
      </s:c>
    </s:row>
    <s:row r="153" ht="155.1" customHeight="1" s="48">
      <s:c r="A153" s="17" t="inlineStr">
        <s:is>
          <s:t>S7-B01</s:t>
        </s:is>
      </s:c>
      <s:c r="B153" s="18" t="inlineStr">
        <s:is>
          <s:t>S7</s:t>
        </s:is>
      </s:c>
      <s:c r="C153" s="18" t="inlineStr">
        <s:is>
          <s:t>AI Copilot UX</s:t>
        </s:is>
      </s:c>
      <s:c r="D153" s="12" t="inlineStr">
        <s:is>
          <s:t>Implement tool-driven AI Copilot interactions</s:t>
        </s:is>
      </s:c>
      <s:c r="E153" s="13" t="inlineStr">
        <s:is>
          <s:t>Add suggested actions, tool cards, confirmation states, abort/retry, links to created artifacts and safe error handling for strategy/campaign/content actions.</s:t>
        </s:is>
      </s:c>
      <s:c r="F153" s="13" t="inlineStr">
        <s:is>
          <s:t>No side effect executes from plain model text; every mutation maps to typed tool/domain command; user sees result link and final status.</s:t>
        </s:is>
      </s:c>
      <s:c r="G153" s="18" t="inlineStr">
        <s:is>
          <s:t>S6-B14,S7-A07</s:t>
        </s:is>
      </s:c>
      <s:c r="H153" s="18" t="inlineStr">
        <s:is>
          <s:t>P0</s:t>
        </s:is>
      </s:c>
      <s:c r="I153" s="18" t="inlineStr">
        <s:is>
          <s:t>Programmer B</s:t>
        </s:is>
      </s:c>
      <s:c r="J153" s="18" t="inlineStr">
        <s:is>
          <s:t>Programmer A</s:t>
        </s:is>
      </s:c>
      <s:c r="K153" s="18" t="n">
        <s:v>10</s:v>
      </s:c>
      <s:c r="L153" s="30" t="inlineStr">
        <s:is>
          <s:t>Not Started</s:t>
        </s:is>
      </s:c>
      <s:c r="M153" s="13" t="inlineStr">
        <s:is>
          <s:t>E2E + XSS/safety tests</s:t>
        </s:is>
      </s:c>
      <s:c r="N153" s="18" t="inlineStr">
        <s:is>
          <s:t>RG-16,RG-17</s:t>
        </s:is>
      </s:c>
      <s:c r="O153" s="13" t="inlineStr">
        <s:is>
          <s:t>No chain-of-thought exposure; sanitize rendered markdown/content.</s:t>
        </s:is>
      </s:c>
      <s:c r="P153" s="18" t="inlineStr">
        <s:is>
          <s:t>copilot tool UX</s:t>
        </s:is>
      </s:c>
      <s:c r="Q153" s="14">
        <s:f>INDEX('01_ROADMAP'!$C$5:$C$15,MATCH(B153,'01_ROADMAP'!$A$5:$A$15,0))</s:f>
        <s:v>46370.0</s:v>
      </s:c>
      <s:c r="R153" s="14">
        <s:f>INDEX('01_ROADMAP'!$D$5:$D$15,MATCH(B153,'01_ROADMAP'!$A$5:$A$15,0))</s:f>
        <s:v>46383.0</s:v>
      </s:c>
      <s:c r="S153" s="29" t="inlineStr">
        <s:is>
          <s:t>docs/backlog-deep-audit-2026-09-07.json#S7-B01</s:t>
        </s:is>
      </s:c>
      <s:c r="T153" s="13" t="inlineStr">
        <s:is>
          <s:t>FRONTEND/AI</s:t>
        </s:is>
      </s:c>
      <s:c r="U153" s="13" t="inlineStr">
        <s:is>
          <s:t>Global</s:t>
        </s:is>
      </s:c>
      <s:c r="V153" s="13" t="inlineStr">
        <s:is>
          <s:t>GA</s:t>
        </s:is>
      </s:c>
      <s:c r="W153" s="13" t="inlineStr">
        <s:is>
          <s:t>ChatTool/ChatMessage/Modal confirmation patterns.</s:t>
        </s:is>
      </s:c>
      <s:c r="X153" s="13" t="inlineStr">
        <s:is>
          <s:t>E2E + XSS/safety tests</s:t>
        </s:is>
      </s:c>
      <s:c r="Y153" s="57" t="inlineStr">
        <s:is>
          <s:t>Pa filluar</s:t>
        </s:is>
      </s:c>
      <s:c r="Z153" s="55" t="inlineStr">
        <s:is>
          <s:t>CopilotPanel është udhëzim/navigim dhe CaptionAssistant është gjenerues tekstesh me kërkesë të përdoruesit.</s:t>
        </s:is>
      </s:c>
      <s:c r="AA153" s="55" t="inlineStr">
        <s:is>
          <s:t>1. Pas shell/API së Copilot: tool cards, konfirmim, abort/retry dhe link/status për çdo artefakt; çdo side effect kalon typed domain command, kurrë tekstin e lirë të modelit.</s:t>
        </s:is>
      </s:c>
      <s:c r="AB153" s="55" t="inlineStr">
        <s:is>
          <s:t>Prova e kërkuar nga backlog-u: E2E + XSS/safety tests
Kriteri për t'u verifikuar (nuk deklarohet i kaluar): No side effect executes from plain model text; every mutation maps to typed tool/domain command; user sees result link and final status.
Pranimi kërkon edhe gate-et: RG-16,RG-17. Asnjë gate nuk është shënuar Passed nga ky audit.</s:t>
        </s:is>
      </s:c>
      <s:c r="AC153" s="55" t="inlineStr">
        <s:is>
          <s:t>U rishikuan kodi/artefaktet dhe u kërkua implementimi i kësaj detyre. Nuk ka provë të ekzekutuar specifike që mbyll të gjithë kriterin; kontrollet globale nuk e zëvendësojnë atë.</s:t>
        </s:is>
      </s:c>
      <s:c r="AD153" s="55" t="inlineStr">
        <s:is>
          <s:t>apps/web/app/components/CopilotPanel.vue
apps/web/app/components/CaptionAssistant.vue</s:t>
        </s:is>
      </s:c>
      <s:c r="AE153" s="42" t="inlineStr">
        <s:is>
          <s:t>Pa filluar</s:t>
        </s:is>
      </s:c>
      <s:c r="AF153" s="42" t="inlineStr">
        <s:is>
          <s:t>Po</s:t>
        </s:is>
      </s:c>
      <s:c r="AG153" s="42" t="inlineStr">
        <s:is>
          <s:t>Po, pas implementimit</s:t>
        </s:is>
      </s:c>
      <s:c r="AH153" s="42" t="inlineStr">
        <s:is>
          <s:t>Pas shell/API së Copilot: tool cards, konfirmim, abort/retry dhe link/status për çdo artefakt; çdo side effect kalon typed domain command, kurrë tekstin e lirë të modelit.</s:t>
        </s:is>
      </s:c>
      <s:c r="AI153" s="42" t="inlineStr">
        <s:is>
          <s:t>docs/backlog-code-handoff-2026-09-08.json#S7-B01</s:t>
        </s:is>
      </s:c>
      <s:c r="AJ153" s="42" t="inlineStr">
        <s:is>
          <s:t>Programmer B / review: Programmer A</s:t>
        </s:is>
      </s:c>
    </s:row>
    <s:row r="154" ht="155.1" customHeight="1" s="48">
      <s:c r="A154" s="17" t="inlineStr">
        <s:is>
          <s:t>S7-B02</s:t>
        </s:is>
      </s:c>
      <s:c r="B154" s="18" t="inlineStr">
        <s:is>
          <s:t>S7</s:t>
        </s:is>
      </s:c>
      <s:c r="C154" s="18" t="inlineStr">
        <s:is>
          <s:t>Templates</s:t>
        </s:is>
      </s:c>
      <s:c r="D154" s="12" t="inlineStr">
        <s:is>
          <s:t>Build brand-aware content template library</s:t>
        </s:is>
      </s:c>
      <s:c r="E154" s="13" t="inlineStr">
        <s:is>
          <s:t>Create searchable templates by vertical/goal/format with preview, brand token substitution and create-from-template flow; templates are data, not hardcoded components.</s:t>
        </s:is>
      </s:c>
      <s:c r="F154" s="13" t="inlineStr">
        <s:is>
          <s:t>Template cannot inject unsupported claims; brand data fills only verified fields; mobile preview works.</s:t>
        </s:is>
      </s:c>
      <s:c r="G154" s="18" t="inlineStr">
        <s:is>
          <s:t>S3-B07,S7-A02,S7-A03</s:t>
        </s:is>
      </s:c>
      <s:c r="H154" s="18" t="inlineStr">
        <s:is>
          <s:t>P1</s:t>
        </s:is>
      </s:c>
      <s:c r="I154" s="18" t="inlineStr">
        <s:is>
          <s:t>Programmer B</s:t>
        </s:is>
      </s:c>
      <s:c r="J154" s="18" t="inlineStr">
        <s:is>
          <s:t>Programmer A</s:t>
        </s:is>
      </s:c>
      <s:c r="K154" s="18" t="n">
        <s:v>8</s:v>
      </s:c>
      <s:c r="L154" s="28" t="inlineStr">
        <s:is>
          <s:t>In Progress</s:t>
        </s:is>
      </s:c>
      <s:c r="M154" s="13" t="inlineStr">
        <s:is>
          <s:t>Component + policy tests</s:t>
        </s:is>
      </s:c>
      <s:c r="N154" s="18" t="inlineStr">
        <s:is>
          <s:t>RG-16,RG-17</s:t>
        </s:is>
      </s:c>
      <s:c r="O154" s="13" t="inlineStr">
        <s:is>
          <s:t>Rights/licensing metadata on bundled creative assets.</s:t>
        </s:is>
      </s:c>
      <s:c r="P154" s="18" t="inlineStr">
        <s:is>
          <s:t>template library</s:t>
        </s:is>
      </s:c>
      <s:c r="Q154" s="14">
        <s:f>INDEX('01_ROADMAP'!$C$5:$C$15,MATCH(B154,'01_ROADMAP'!$A$5:$A$15,0))</s:f>
        <s:v>46370.0</s:v>
      </s:c>
      <s:c r="R154" s="14">
        <s:f>INDEX('01_ROADMAP'!$D$5:$D$15,MATCH(B154,'01_ROADMAP'!$A$5:$A$15,0))</s:f>
        <s:v>46383.0</s:v>
      </s:c>
      <s:c r="S154" s="29" t="inlineStr">
        <s:is>
          <s:t>docs/backlog-deep-audit-2026-09-07.json#S7-B02</s:t>
        </s:is>
      </s:c>
      <s:c r="T154" s="13" t="inlineStr">
        <s:is>
          <s:t>FRONTEND</s:t>
        </s:is>
      </s:c>
      <s:c r="U154" s="13" t="inlineStr">
        <s:is>
          <s:t>Content Studio</s:t>
        </s:is>
      </s:c>
      <s:c r="V154" s="13" t="inlineStr">
        <s:is>
          <s:t>GA</s:t>
        </s:is>
      </s:c>
      <s:c r="W154" s="13" t="inlineStr">
        <s:is>
          <s:t>PageGrid/Card/Drawer/Preview.</s:t>
        </s:is>
      </s:c>
      <s:c r="X154" s="13" t="inlineStr">
        <s:is>
          <s:t>Component + policy tests</s:t>
        </s:is>
      </s:c>
      <s:c r="Y154" s="54" t="inlineStr">
        <s:is>
          <s:t>Pjesërisht</s:t>
        </s:is>
      </s:c>
      <s:c r="Z154" s="56" t="inlineStr">
        <s:is>
          <s:t>Template catalog në DB me API, search/filter, preview dhe create-from-template; demo seeds u çaktivizuan.</s:t>
        </s:is>
      </s:c>
      <s:c r="AA154" s="56" t="inlineStr">
        <s:is>
          <s:t>1. Mungojnë versionim/brand substitution vetëm me verified facts, vertical/format completeness dhe policy/E2E fixtures.</s:t>
        </s:is>
      </s:c>
      <s:c r="AB154" s="56" t="inlineStr">
        <s:is>
          <s:t>Prova e kërkuar nga backlog-u: Component + policy tests
Kriteri për t'u verifikuar (nuk deklarohet i kaluar): Template cannot inject unsupported claims; brand data fills only verified fields; mobile preview works.
Pranimi kërkon edhe gate-et: RG-16,RG-17. Asnjë gate nuk është shënuar Passed nga ky audit.</s:t>
        </s:is>
      </s:c>
      <s:c r="AC154" s="56" t="inlineStr">
        <s:is>
          <s:t>U rishikuan kodi/artefaktet dhe u kërkua implementimi i kësaj detyre. Nuk ka provë të ekzekutuar specifike që mbyll të gjithë kriterin; kontrollet globale nuk e zëvendësojnë atë.</s:t>
        </s:is>
      </s:c>
      <s:c r="AD154" s="56" t="inlineStr">
        <s:is>
          <s:t>apps/web/server/api/templates.get.ts
apps/web/database/migrations/0005_media_and_catalog.sql
apps/web/app/pages/app/[org]/[brand]/templates.vue</s:t>
        </s:is>
      </s:c>
      <s:c r="AE154" s="42" t="inlineStr">
        <s:is>
          <s:t>Pjesërisht — kërkon zhvillim</s:t>
        </s:is>
      </s:c>
      <s:c r="AF154" s="42" t="inlineStr">
        <s:is>
          <s:t>Po</s:t>
        </s:is>
      </s:c>
      <s:c r="AG154" s="42" t="inlineStr">
        <s:is>
          <s:t>Po, pas implementimit</s:t>
        </s:is>
      </s:c>
      <s:c r="AH154" s="42" t="inlineStr">
        <s:is>
          <s:t>Mungojnë versionim/brand substitution vetëm me verified facts, vertical/format completeness dhe policy/E2E fixtures.</s:t>
        </s:is>
      </s:c>
      <s:c r="AI154" s="42" t="inlineStr">
        <s:is>
          <s:t>docs/backlog-code-handoff-2026-09-08.json#S7-B02</s:t>
        </s:is>
      </s:c>
      <s:c r="AJ154" s="42" t="inlineStr">
        <s:is>
          <s:t>Programmer B / review: Programmer A</s:t>
        </s:is>
      </s:c>
    </s:row>
    <s:row r="155" ht="180" customHeight="1" s="48">
      <s:c r="A155" s="17" t="inlineStr">
        <s:is>
          <s:t>S7-B03</s:t>
        </s:is>
      </s:c>
      <s:c r="B155" s="18" t="inlineStr">
        <s:is>
          <s:t>S7</s:t>
        </s:is>
      </s:c>
      <s:c r="C155" s="18" t="inlineStr">
        <s:is>
          <s:t>Safety UX</s:t>
        </s:is>
      </s:c>
      <s:c r="D155" s="12" t="inlineStr">
        <s:is>
          <s:t>Build content QA and policy review experience</s:t>
        </s:is>
      </s:c>
      <s:c r="E155" s="13" t="inlineStr">
        <s:is>
          <s:t>Display factuality/brand/policy checks, evidence refs, warnings, blockers and permitted override flow beside preview without flooding primary editor.</s:t>
        </s:is>
      </s:c>
      <s:c r="F155" s="13" t="inlineStr">
        <s:is>
          <s:t>BLOCK prevents approve/schedule; WARN reason actionable; override asks reason/capability; provenance accessible.</s:t>
        </s:is>
      </s:c>
      <s:c r="G155" s="18" t="inlineStr">
        <s:is>
          <s:t>S6-A12,S7-A02</s:t>
        </s:is>
      </s:c>
      <s:c r="H155" s="18" t="inlineStr">
        <s:is>
          <s:t>P0</s:t>
        </s:is>
      </s:c>
      <s:c r="I155" s="18" t="inlineStr">
        <s:is>
          <s:t>Programmer B</s:t>
        </s:is>
      </s:c>
      <s:c r="J155" s="18" t="inlineStr">
        <s:is>
          <s:t>Programmer A</s:t>
        </s:is>
      </s:c>
      <s:c r="K155" s="18" t="n">
        <s:v>7</s:v>
      </s:c>
      <s:c r="L155" s="28" t="inlineStr">
        <s:is>
          <s:t>In Progress</s:t>
        </s:is>
      </s:c>
      <s:c r="M155" s="13" t="inlineStr">
        <s:is>
          <s:t>E2E + a11y</s:t>
        </s:is>
      </s:c>
      <s:c r="N155" s="18" t="inlineStr">
        <s:is>
          <s:t>RG-16,RG-17</s:t>
        </s:is>
      </s:c>
      <s:c r="O155" s="13" t="inlineStr">
        <s:is>
          <s:t>Do not expose internal policy secrets/prompts.</s:t>
        </s:is>
      </s:c>
      <s:c r="P155" s="18" t="inlineStr">
        <s:is>
          <s:t>policy review UI</s:t>
        </s:is>
      </s:c>
      <s:c r="Q155" s="14">
        <s:f>INDEX('01_ROADMAP'!$C$5:$C$15,MATCH(B155,'01_ROADMAP'!$A$5:$A$15,0))</s:f>
        <s:v>46370.0</s:v>
      </s:c>
      <s:c r="R155" s="14">
        <s:f>INDEX('01_ROADMAP'!$D$5:$D$15,MATCH(B155,'01_ROADMAP'!$A$5:$A$15,0))</s:f>
        <s:v>46383.0</s:v>
      </s:c>
      <s:c r="S155" s="29" t="inlineStr">
        <s:is>
          <s:t>docs/backlog-partial-progress-2026-09-08.json#S7-B03</s:t>
        </s:is>
      </s:c>
      <s:c r="T155" s="13" t="inlineStr">
        <s:is>
          <s:t>FRONTEND</s:t>
        </s:is>
      </s:c>
      <s:c r="U155" s="13" t="inlineStr">
        <s:is>
          <s:t>Content Studio</s:t>
        </s:is>
      </s:c>
      <s:c r="V155" s="13" t="inlineStr">
        <s:is>
          <s:t>GA</s:t>
        </s:is>
      </s:c>
      <s:c r="W155" s="13" t="inlineStr">
        <s:is>
          <s:t>Slideover/Alert/Badge/Accordion.</s:t>
        </s:is>
      </s:c>
      <s:c r="X155" s="13" t="inlineStr">
        <s:is>
          <s:t>E2E + a11y</s:t>
        </s:is>
      </s:c>
      <s:c r="Y155" s="54" t="inlineStr">
        <s:is>
          <s:t>Pjesërisht</s:t>
        </s:is>
      </s:c>
      <s:c r="Z155" s="55" t="inlineStr">
        <s:is>
          <s:t>Approval/validation lidhen me snapshot immutable; postimi failed mund të kontrollohet dhe miratohet sërish. BLOCK vazhdon të ndalë approve/schedule.</s:t>
        </s:is>
      </s:c>
      <s:c r="AA155" s="55" t="inlineStr">
        <s:is>
          <s:t>Mbeten factuality/claim provenance, versioned policy, override capability/reason/audit dhe RG-16/RG-17.</s:t>
        </s:is>
      </s:c>
      <s:c r="AB155" s="55" t="inlineStr">
        <s:is>
          <s:t>Prova e kërkuar nga backlog-u: E2E + a11y
Kriteri për t'u verifikuar (nuk deklarohet i kaluar): BLOCK prevents approve/schedule; WARN reason actionable; override asks reason/capability; provenance accessible.
DA-03: E2E për failed të sigurt, media/auth error dhe uncertain; përdoruesi arrin korrigjimin pa shkaktuar publikim të dyfishtë.
Pranimi kërkon edhe gate-et: RG-16,RG-17. Asnjë gate nuk është shënuar Passed nga ky audit.</s:t>
        </s:is>
      </s:c>
      <s:c r="AC155" s="55" t="inlineStr">
        <s:is>
          <s:t>State/DB tests kaluan; override/provenance acceptance nuk është kryer.</s:t>
        </s:is>
      </s:c>
      <s:c r="AD155" s="55" t="inlineStr">
        <s:is>
          <s:t>apps/web/server/utils/post-validation.ts
apps/web/server/api/workspaces/[id].put.ts
apps/web/app/components/ContentEditor.vue</s:t>
        </s:is>
      </s:c>
      <s:c r="AE155" s="42" t="inlineStr">
        <s:is>
          <s:t>Pjesërisht — kërkon zhvillim</s:t>
        </s:is>
      </s:c>
      <s:c r="AF155" s="42" t="inlineStr">
        <s:is>
          <s:t>Po</s:t>
        </s:is>
      </s:c>
      <s:c r="AG155" s="42" t="inlineStr">
        <s:is>
          <s:t>Po — përzier me punë të jashtme</s:t>
        </s:is>
      </s:c>
      <s:c r="AH155" s="42" t="inlineStr">
        <s:is>
          <s:t>Mbeten factuality/claim provenance, versioned policy, override capability/reason/audit dhe RG-16/RG-17.</s:t>
        </s:is>
      </s:c>
      <s:c r="AI155" s="42" t="inlineStr">
        <s:is>
          <s:t>docs/backlog-code-handoff-2026-09-08.json#S7-B03</s:t>
        </s:is>
      </s:c>
      <s:c r="AJ155" s="42" t="inlineStr">
        <s:is>
          <s:t>Programmer B / review: Programmer A</s:t>
        </s:is>
      </s:c>
    </s:row>
    <s:row r="156" ht="155.1" customHeight="1" s="48">
      <s:c r="A156" s="17" t="inlineStr">
        <s:is>
          <s:t>S7-B04</s:t>
        </s:is>
      </s:c>
      <s:c r="B156" s="18" t="inlineStr">
        <s:is>
          <s:t>S7</s:t>
        </s:is>
      </s:c>
      <s:c r="C156" s="18" t="inlineStr">
        <s:is>
          <s:t>Admin UX</s:t>
        </s:is>
      </s:c>
      <s:c r="D156" s="12" t="inlineStr">
        <s:is>
          <s:t>Expand platform operations console</s:t>
        </s:is>
      </s:c>
      <s:c r="E156" s="13" t="inlineStr">
        <s:is>
          <s:t>Build tenant search, integration health, queue/job list, publishing attempts, AI spend/anomaly, feature flags and support diagnostics using admin APIs.</s:t>
        </s:is>
      </s:c>
      <s:c r="F156" s="13" t="inlineStr">
        <s:is>
          <s:t>No secret values displayed; retry/breaker actions confirm reason; long lists server-paginated; mobile read-only usable.</s:t>
        </s:is>
      </s:c>
      <s:c r="G156" s="18" t="inlineStr">
        <s:is>
          <s:t>S7-A06,S7-A09</s:t>
        </s:is>
      </s:c>
      <s:c r="H156" s="18" t="inlineStr">
        <s:is>
          <s:t>P0</s:t>
        </s:is>
      </s:c>
      <s:c r="I156" s="18" t="inlineStr">
        <s:is>
          <s:t>Programmer B</s:t>
        </s:is>
      </s:c>
      <s:c r="J156" s="18" t="inlineStr">
        <s:is>
          <s:t>Programmer A</s:t>
        </s:is>
      </s:c>
      <s:c r="K156" s="18" t="n">
        <s:v>10</s:v>
      </s:c>
      <s:c r="L156" s="30" t="inlineStr">
        <s:is>
          <s:t>Not Started</s:t>
        </s:is>
      </s:c>
      <s:c r="M156" s="13" t="inlineStr">
        <s:is>
          <s:t>Admin authz E2E</s:t>
        </s:is>
      </s:c>
      <s:c r="N156" s="18" t="inlineStr">
        <s:is>
          <s:t>RG-18</s:t>
        </s:is>
      </s:c>
      <s:c r="O156" s="13" t="inlineStr">
        <s:is>
          <s:t>Admin route protected server-side; action audit ID shown.</s:t>
        </s:is>
      </s:c>
      <s:c r="P156" s="18" t="inlineStr">
        <s:is>
          <s:t>admin operations UI</s:t>
        </s:is>
      </s:c>
      <s:c r="Q156" s="14">
        <s:f>INDEX('01_ROADMAP'!$C$5:$C$15,MATCH(B156,'01_ROADMAP'!$A$5:$A$15,0))</s:f>
        <s:v>46370.0</s:v>
      </s:c>
      <s:c r="R156" s="14">
        <s:f>INDEX('01_ROADMAP'!$D$5:$D$15,MATCH(B156,'01_ROADMAP'!$A$5:$A$15,0))</s:f>
        <s:v>46383.0</s:v>
      </s:c>
      <s:c r="S156" s="29" t="inlineStr">
        <s:is>
          <s:t>docs/backlog-deep-audit-2026-09-07.json#S7-B04</s:t>
        </s:is>
      </s:c>
      <s:c r="T156" s="13" t="inlineStr">
        <s:is>
          <s:t>FRONTEND/OPS</s:t>
        </s:is>
      </s:c>
      <s:c r="U156" s="13" t="inlineStr">
        <s:is>
          <s:t>Admin/Support</s:t>
        </s:is>
      </s:c>
      <s:c r="V156" s="13" t="inlineStr">
        <s:is>
          <s:t>GA</s:t>
        </s:is>
      </s:c>
      <s:c r="W156" s="13" t="inlineStr">
        <s:is>
          <s:t>Dashboard/Table/Tabs/Drawer/Modal.</s:t>
        </s:is>
      </s:c>
      <s:c r="X156" s="13" t="inlineStr">
        <s:is>
          <s:t>Admin authz E2E</s:t>
        </s:is>
      </s:c>
      <s:c r="Y156" s="57" t="inlineStr">
        <s:is>
          <s:t>Pa filluar</s:t>
        </s:is>
      </s:c>
      <s:c r="Z156" s="56" t="inlineStr">
        <s:is>
          <s:t>Admin/support console/API nuk gjendet në rrugët aktive.</s:t>
        </s:is>
      </s:c>
      <s:c r="AA156" s="56" t="inlineStr">
        <s:is>
          <s:t>1. Zgjero console me tenant search, queues/attempts, AI spend/anomaly dhe flags; server pagination, konfirmim me arsye për retry/breaker dhe pamje mobile read-only.</s:t>
        </s:is>
      </s:c>
      <s:c r="AB156" s="56" t="inlineStr">
        <s:is>
          <s:t>Prova e kërkuar nga backlog-u: Admin authz E2E
Kriteri për t'u verifikuar (nuk deklarohet i kaluar): No secret values displayed; retry/breaker actions confirm reason; long lists server-paginated; mobile read-only usable.
Pranimi kërkon edhe gate-et: RG-18. Asnjë gate nuk është shënuar Passed nga ky audit.</s:t>
        </s:is>
      </s:c>
      <s:c r="AC156" s="56" t="inlineStr">
        <s:is>
          <s:t>U rishikuan kodi/artefaktet dhe u kërkua implementimi i kësaj detyre. Nuk ka provë të ekzekutuar specifike që mbyll të gjithë kriterin; kontrollet globale nuk e zëvendësojnë atë.</s:t>
        </s:is>
      </s:c>
      <s:c r="AD156" s="56" t="inlineStr">
        <s:is>
          <s:t>Nuk u gjet implementim specifik; shiko kriterin dhe hapat në AA/AB.</s:t>
        </s:is>
      </s:c>
      <s:c r="AE156" s="42" t="inlineStr">
        <s:is>
          <s:t>Pa filluar</s:t>
        </s:is>
      </s:c>
      <s:c r="AF156" s="42" t="inlineStr">
        <s:is>
          <s:t>Po</s:t>
        </s:is>
      </s:c>
      <s:c r="AG156" s="42" t="inlineStr">
        <s:is>
          <s:t>Po, pas implementimit</s:t>
        </s:is>
      </s:c>
      <s:c r="AH156" s="42" t="inlineStr">
        <s:is>
          <s:t>Zgjero console me tenant search, queues/attempts, AI spend/anomaly dhe flags; server pagination, konfirmim me arsye për retry/breaker dhe pamje mobile read-only.</s:t>
        </s:is>
      </s:c>
      <s:c r="AI156" s="42" t="inlineStr">
        <s:is>
          <s:t>docs/backlog-code-handoff-2026-09-08.json#S7-B04</s:t>
        </s:is>
      </s:c>
      <s:c r="AJ156" s="42" t="inlineStr">
        <s:is>
          <s:t>Programmer B / review: Programmer A</s:t>
        </s:is>
      </s:c>
    </s:row>
    <s:row r="157" ht="155.1" customHeight="1" s="48">
      <s:c r="A157" s="17" t="inlineStr">
        <s:is>
          <s:t>S7-B05</s:t>
        </s:is>
      </s:c>
      <s:c r="B157" s="18" t="inlineStr">
        <s:is>
          <s:t>S7</s:t>
        </s:is>
      </s:c>
      <s:c r="C157" s="18" t="inlineStr">
        <s:is>
          <s:t>Billing UX</s:t>
        </s:is>
      </s:c>
      <s:c r="D157" s="12" t="inlineStr">
        <s:is>
          <s:t>Complete billing edge-case UX</s:t>
        </s:is>
      </s:c>
      <s:c r="E157" s="13" t="inlineStr">
        <s:is>
          <s:t>Handle trial, failed payment/grace, upgrade/downgrade effective date, cancel/reactivate, quota impact and provider-return errors with preserved app data.</s:t>
        </s:is>
      </s:c>
      <s:c r="F157" s="13" t="inlineStr">
        <s:is>
          <s:t>No false success after redirect; effective date explicit; downgrade never suggests content deletion; failed payment shows remediation.</s:t>
        </s:is>
      </s:c>
      <s:c r="G157" s="18" t="inlineStr">
        <s:is>
          <s:t>S7-A04,S5-B04</s:t>
        </s:is>
      </s:c>
      <s:c r="H157" s="18" t="inlineStr">
        <s:is>
          <s:t>P0</s:t>
        </s:is>
      </s:c>
      <s:c r="I157" s="18" t="inlineStr">
        <s:is>
          <s:t>Programmer B</s:t>
        </s:is>
      </s:c>
      <s:c r="J157" s="18" t="inlineStr">
        <s:is>
          <s:t>Programmer A</s:t>
        </s:is>
      </s:c>
      <s:c r="K157" s="18" t="n">
        <s:v>7</s:v>
      </s:c>
      <s:c r="L157" s="28" t="inlineStr">
        <s:is>
          <s:t>In Progress</s:t>
        </s:is>
      </s:c>
      <s:c r="M157" s="13" t="inlineStr">
        <s:is>
          <s:t>E2E provider fixtures</s:t>
        </s:is>
      </s:c>
      <s:c r="N157" s="18" t="inlineStr">
        <s:is>
          <s:t>RG-08,RG-17</s:t>
        </s:is>
      </s:c>
      <s:c r="O157" s="13" t="inlineStr">
        <s:is>
          <s:t>Financial status from verified server state only.</s:t>
        </s:is>
      </s:c>
      <s:c r="P157" s="18" t="inlineStr">
        <s:is>
          <s:t>billing lifecycle UX</s:t>
        </s:is>
      </s:c>
      <s:c r="Q157" s="14">
        <s:f>INDEX('01_ROADMAP'!$C$5:$C$15,MATCH(B157,'01_ROADMAP'!$A$5:$A$15,0))</s:f>
        <s:v>46370.0</s:v>
      </s:c>
      <s:c r="R157" s="14">
        <s:f>INDEX('01_ROADMAP'!$D$5:$D$15,MATCH(B157,'01_ROADMAP'!$A$5:$A$15,0))</s:f>
        <s:v>46383.0</s:v>
      </s:c>
      <s:c r="S157" s="29" t="inlineStr">
        <s:is>
          <s:t>docs/backlog-deep-audit-2026-09-07.json#S7-B05</s:t>
        </s:is>
      </s:c>
      <s:c r="T157" s="13" t="inlineStr">
        <s:is>
          <s:t>FRONTEND</s:t>
        </s:is>
      </s:c>
      <s:c r="U157" s="13" t="inlineStr">
        <s:is>
          <s:t>Billing</s:t>
        </s:is>
      </s:c>
      <s:c r="V157" s="13" t="inlineStr">
        <s:is>
          <s:t>GA</s:t>
        </s:is>
      </s:c>
      <s:c r="W157" s="13" t="inlineStr">
        <s:is>
          <s:t>Alert/Modal/PricingTable/Timeline.</s:t>
        </s:is>
      </s:c>
      <s:c r="X157" s="13" t="inlineStr">
        <s:is>
          <s:t>E2E provider fixtures</s:t>
        </s:is>
      </s:c>
      <s:c r="Y157" s="54" t="inlineStr">
        <s:is>
          <s:t>Pjesërisht</s:t>
        </s:is>
      </s:c>
      <s:c r="Z157" s="55" t="inlineStr">
        <s:is>
          <s:t>Billing/TrialBanner shfaq active/expired/blocked/revoked pa pretenduar pagesë të suksesshme; të dhënat mbeten.</s:t>
        </s:is>
      </s:c>
      <s:c r="AA157" s="55" t="inlineStr">
        <s:is>
          <s:t>1. Mungojnë failed-payment/grace/change-plan/cancel/reactivate/provider-return dhe E2E komerciale.</s:t>
        </s:is>
      </s:c>
      <s:c r="AB157" s="55" t="inlineStr">
        <s:is>
          <s:t>Prova e kërkuar nga backlog-u: E2E provider fixtures
Kriteri për t'u verifikuar (nuk deklarohet i kaluar): No false success after redirect; effective date explicit; downgrade never suggests content deletion; failed payment shows remediation.
Pranimi kërkon edhe gate-et: RG-08,RG-17. Asnjë gate nuk është shënuar Passed nga ky audit.</s:t>
        </s:is>
      </s:c>
      <s:c r="AC157" s="55" t="inlineStr">
        <s:is>
          <s:t>U rishikuan kodi/artefaktet dhe u kërkua implementimi i kësaj detyre. Nuk ka provë të ekzekutuar specifike që mbyll të gjithë kriterin; kontrollet globale nuk e zëvendësojnë atë.</s:t>
        </s:is>
      </s:c>
      <s:c r="AD157" s="55" t="inlineStr">
        <s:is>
          <s:t>apps/web/app/pages/app/[org]/[brand]/billing.vue
apps/web/app/components/TrialBanner.vue</s:t>
        </s:is>
      </s:c>
      <s:c r="AE157" s="42" t="inlineStr">
        <s:is>
          <s:t>Pjesërisht — kërkon zhvillim</s:t>
        </s:is>
      </s:c>
      <s:c r="AF157" s="42" t="inlineStr">
        <s:is>
          <s:t>Po</s:t>
        </s:is>
      </s:c>
      <s:c r="AG157" s="42" t="inlineStr">
        <s:is>
          <s:t>Po — përzier me punë të jashtme</s:t>
        </s:is>
      </s:c>
      <s:c r="AH157" s="42" t="inlineStr">
        <s:is>
          <s:t>Mungojnë failed-payment/grace/change-plan/cancel/reactivate/provider-return dhe E2E komerciale.</s:t>
        </s:is>
      </s:c>
      <s:c r="AI157" s="42" t="inlineStr">
        <s:is>
          <s:t>docs/backlog-code-handoff-2026-09-08.json#S7-B05</s:t>
        </s:is>
      </s:c>
      <s:c r="AJ157" s="42" t="inlineStr">
        <s:is>
          <s:t>Programmer B / review: Programmer A</s:t>
        </s:is>
      </s:c>
    </s:row>
    <s:row r="158" ht="155.1" customHeight="1" s="48">
      <s:c r="A158" s="17" t="inlineStr">
        <s:is>
          <s:t>S7-B06</s:t>
        </s:is>
      </s:c>
      <s:c r="B158" s="18" t="inlineStr">
        <s:is>
          <s:t>S7</s:t>
        </s:is>
      </s:c>
      <s:c r="C158" s="18" t="inlineStr">
        <s:is>
          <s:t>Notification Preferences</s:t>
        </s:is>
      </s:c>
      <s:c r="D158" s="12" t="inlineStr">
        <s:is>
          <s:t>Build notification preference center</s:t>
        </s:is>
      </s:c>
      <s:c r="E158" s="13" t="inlineStr">
        <s:is>
          <s:t>Allow per-event in-app/email preferences for publish success/failure, approval, connection revoked, billing and product tips; security-critical notices cannot be disabled where policy requires.</s:t>
        </s:is>
      </s:c>
      <s:c r="F158" s="13" t="inlineStr">
        <s:is>
          <s:t>Preference updates scoped correctly; mandatory notice behavior documented; no duplicate toast/email spam in fixtures.</s:t>
        </s:is>
      </s:c>
      <s:c r="G158" s="18" t="inlineStr">
        <s:is>
          <s:t>S4-A08,S4-B05</s:t>
        </s:is>
      </s:c>
      <s:c r="H158" s="18" t="inlineStr">
        <s:is>
          <s:t>P1</s:t>
        </s:is>
      </s:c>
      <s:c r="I158" s="18" t="inlineStr">
        <s:is>
          <s:t>Programmer B</s:t>
        </s:is>
      </s:c>
      <s:c r="J158" s="18" t="inlineStr">
        <s:is>
          <s:t>Programmer A</s:t>
        </s:is>
      </s:c>
      <s:c r="K158" s="18" t="n">
        <s:v>6</s:v>
      </s:c>
      <s:c r="L158" s="28" t="inlineStr">
        <s:is>
          <s:t>In Progress</s:t>
        </s:is>
      </s:c>
      <s:c r="M158" s="13" t="inlineStr">
        <s:is>
          <s:t>Component + integration tests</s:t>
        </s:is>
      </s:c>
      <s:c r="N158" s="18" t="inlineStr">
        <s:is>
          <s:t>RG-17</s:t>
        </s:is>
      </s:c>
      <s:c r="O158" s="13" t="inlineStr">
        <s:is>
          <s:t>Privacy-safe channels and unsub semantics.</s:t>
        </s:is>
      </s:c>
      <s:c r="P158" s="18" t="inlineStr">
        <s:is>
          <s:t>notification settings</s:t>
        </s:is>
      </s:c>
      <s:c r="Q158" s="14">
        <s:f>INDEX('01_ROADMAP'!$C$5:$C$15,MATCH(B158,'01_ROADMAP'!$A$5:$A$15,0))</s:f>
        <s:v>46370.0</s:v>
      </s:c>
      <s:c r="R158" s="14">
        <s:f>INDEX('01_ROADMAP'!$D$5:$D$15,MATCH(B158,'01_ROADMAP'!$A$5:$A$15,0))</s:f>
        <s:v>46383.0</s:v>
      </s:c>
      <s:c r="S158" s="29" t="inlineStr">
        <s:is>
          <s:t>docs/backlog-deep-audit-2026-09-07.json#S7-B06</s:t>
        </s:is>
      </s:c>
      <s:c r="T158" s="13" t="inlineStr">
        <s:is>
          <s:t>FRONTEND</s:t>
        </s:is>
      </s:c>
      <s:c r="U158" s="13" t="inlineStr">
        <s:is>
          <s:t>Settings</s:t>
        </s:is>
      </s:c>
      <s:c r="V158" s="13" t="inlineStr">
        <s:is>
          <s:t>GA</s:t>
        </s:is>
      </s:c>
      <s:c r="W158" s="13" t="inlineStr">
        <s:is>
          <s:t>Switch/Form/Table.</s:t>
        </s:is>
      </s:c>
      <s:c r="X158" s="13" t="inlineStr">
        <s:is>
          <s:t>Component + integration tests</s:t>
        </s:is>
      </s:c>
      <s:c r="Y158" s="54" t="inlineStr">
        <s:is>
          <s:t>Pjesërisht</s:t>
        </s:is>
      </s:c>
      <s:c r="Z158" s="56" t="inlineStr">
        <s:is>
          <s:t>Preferences për approval/published/tips ruhen në server.</s:t>
        </s:is>
      </s:c>
      <s:c r="AA158" s="56" t="inlineStr">
        <s:is>
          <s:t>1. Nuk ka event delivery që i konsumon, per-event in-app/email matrix, mandatory security notices ose dedupe integration tests.</s:t>
        </s:is>
      </s:c>
      <s:c r="AB158" s="56" t="inlineStr">
        <s:is>
          <s:t>Prova e kërkuar nga backlog-u: Component + integration tests
Kriteri për t'u verifikuar (nuk deklarohet i kaluar): Preference updates scoped correctly; mandatory notice behavior documented; no duplicate toast/email spam in fixtures.
Pranimi kërkon edhe gate-et: RG-17. Asnjë gate nuk është shënuar Passed nga ky audit.</s:t>
        </s:is>
      </s:c>
      <s:c r="AC158" s="56" t="inlineStr">
        <s:is>
          <s:t>U rishikuan kodi/artefaktet dhe u kërkua implementimi i kësaj detyre. Nuk ka provë të ekzekutuar specifike që mbyll të gjithë kriterin; kontrollet globale nuk e zëvendësojnë atë.</s:t>
        </s:is>
      </s:c>
      <s:c r="AD158" s="56" t="inlineStr">
        <s:is>
          <s:t>apps/web/app/pages/app/[org]/[brand]/settings.vue
apps/web/server/api/workspaces/[id].put.ts</s:t>
        </s:is>
      </s:c>
      <s:c r="AE158" s="42" t="inlineStr">
        <s:is>
          <s:t>Pjesërisht — kërkon zhvillim</s:t>
        </s:is>
      </s:c>
      <s:c r="AF158" s="42" t="inlineStr">
        <s:is>
          <s:t>Po</s:t>
        </s:is>
      </s:c>
      <s:c r="AG158" s="42" t="inlineStr">
        <s:is>
          <s:t>Po, pas implementimit</s:t>
        </s:is>
      </s:c>
      <s:c r="AH158" s="42" t="inlineStr">
        <s:is>
          <s:t>Nuk ka event delivery që i konsumon, per-event in-app/email matrix, mandatory security notices ose dedupe integration tests.</s:t>
        </s:is>
      </s:c>
      <s:c r="AI158" s="42" t="inlineStr">
        <s:is>
          <s:t>docs/backlog-code-handoff-2026-09-08.json#S7-B06</s:t>
        </s:is>
      </s:c>
      <s:c r="AJ158" s="42" t="inlineStr">
        <s:is>
          <s:t>Programmer B / review: Programmer A</s:t>
        </s:is>
      </s:c>
    </s:row>
    <s:row r="159" ht="159" customHeight="1" s="48">
      <s:c r="A159" s="17" t="inlineStr">
        <s:is>
          <s:t>S7-B07</s:t>
        </s:is>
      </s:c>
      <s:c r="B159" s="18" t="inlineStr">
        <s:is>
          <s:t>S7</s:t>
        </s:is>
      </s:c>
      <s:c r="C159" s="18" t="inlineStr">
        <s:is>
          <s:t>Settings UX</s:t>
        </s:is>
      </s:c>
      <s:c r="D159" s="12" t="inlineStr">
        <s:is>
          <s:t>Build unified profile/org/brand settings information architecture</s:t>
        </s:is>
      </s:c>
      <s:c r="E159" s="13" t="inlineStr">
        <s:is>
          <s:t>Create predictable settings navigation for profile, locale/timezone, organization, brand, team, integrations, notifications, billing, security and danger zone.</s:t>
        </s:is>
      </s:c>
      <s:c r="F159" s="13" t="inlineStr">
        <s:is>
          <s:t>No duplicate settings ownership; breadcrumb/back behavior stable; destructive actions isolated and confirmed.</s:t>
        </s:is>
      </s:c>
      <s:c r="G159" s="18" t="inlineStr">
        <s:is>
          <s:t>S1-B03,S1-B04,S5-B04,S7-B06</s:t>
        </s:is>
      </s:c>
      <s:c r="H159" s="18" t="inlineStr">
        <s:is>
          <s:t>P1</s:t>
        </s:is>
      </s:c>
      <s:c r="I159" s="18" t="inlineStr">
        <s:is>
          <s:t>Programmer B</s:t>
        </s:is>
      </s:c>
      <s:c r="J159" s="18" t="inlineStr">
        <s:is>
          <s:t>Programmer A</s:t>
        </s:is>
      </s:c>
      <s:c r="K159" s="18" t="n">
        <s:v>6</s:v>
      </s:c>
      <s:c r="L159" s="28" t="inlineStr">
        <s:is>
          <s:t>In Progress</s:t>
        </s:is>
      </s:c>
      <s:c r="M159" s="13" t="inlineStr">
        <s:is>
          <s:t>E2E + UX review</s:t>
        </s:is>
      </s:c>
      <s:c r="N159" s="18" t="inlineStr">
        <s:is>
          <s:t>RG-17</s:t>
        </s:is>
      </s:c>
      <s:c r="O159" s="13" t="inlineStr">
        <s:is>
          <s:t>Danger-zone requires correct capability/re-auth rule.</s:t>
        </s:is>
      </s:c>
      <s:c r="P159" s="18" t="inlineStr">
        <s:is>
          <s:t>settings IA</s:t>
        </s:is>
      </s:c>
      <s:c r="Q159" s="14">
        <s:f>INDEX('01_ROADMAP'!$C$5:$C$15,MATCH(B159,'01_ROADMAP'!$A$5:$A$15,0))</s:f>
        <s:v>46370.0</s:v>
      </s:c>
      <s:c r="R159" s="14">
        <s:f>INDEX('01_ROADMAP'!$D$5:$D$15,MATCH(B159,'01_ROADMAP'!$A$5:$A$15,0))</s:f>
        <s:v>46383.0</s:v>
      </s:c>
      <s:c r="S159" s="29" t="inlineStr">
        <s:is>
          <s:t>docs/backlog-deep-audit-2026-09-07.json#S7-B07</s:t>
        </s:is>
      </s:c>
      <s:c r="T159" s="13" t="inlineStr">
        <s:is>
          <s:t>FRONTEND</s:t>
        </s:is>
      </s:c>
      <s:c r="U159" s="13" t="inlineStr">
        <s:is>
          <s:t>Settings</s:t>
        </s:is>
      </s:c>
      <s:c r="V159" s="13" t="inlineStr">
        <s:is>
          <s:t>GA</s:t>
        </s:is>
      </s:c>
      <s:c r="W159" s="13" t="inlineStr">
        <s:is>
          <s:t>Tabs/NavigationMenu/PageAside.</s:t>
        </s:is>
      </s:c>
      <s:c r="X159" s="13" t="inlineStr">
        <s:is>
          <s:t>E2E + UX review</s:t>
        </s:is>
      </s:c>
      <s:c r="Y159" s="54" t="inlineStr">
        <s:is>
          <s:t>Pjesërisht</s:t>
        </s:is>
      </s:c>
      <s:c r="Z159" s="55" t="inlineStr">
        <s:is>
          <s:t>Settings me profile/preferences/notifications/security/organization, password/sessions reale, export dhe lidhje te biznesi/billing.</s:t>
        </s:is>
      </s:c>
      <s:c r="AA159" s="55" t="inlineStr">
        <s:is>
          <s:t>1. Mungojnë organization deletion/danger zone lifecycle dhe testimi i gjithë IA; team/multi-brand është shtyrë.
2. DA-10: Përcakto kontratën e eksportit; krijo server job me manifest dhe media të autorizuara, expiry/recent-auth dhe përfshirje të dokumentuar të të dhënave.</s:t>
        </s:is>
      </s:c>
      <s:c r="AB159" s="55" t="inlineStr">
        <s:is>
          <s:t>Prova e kërkuar nga backlog-u: E2E + UX review
Kriteri për t'u verifikuar (nuk deklarohet i kaluar): No duplicate settings ownership; breadcrumb/back behavior stable; destructive actions isolated and confirmed.
DA-10: Eksport me fotografi/import/history; kontrollo manifest/checksum dhe qasjen/expiry nga llogari tjetër. Mos e paraqit JSON-in aktual si backup të plotë.
Pranimi kërkon edhe gate-et: RG-17. Asnjë gate nuk është shënuar Passed nga ky audit.</s:t>
        </s:is>
      </s:c>
      <s:c r="AC159" s="55" t="inlineStr">
        <s:is>
          <s:t>U rishikuan kodi/artefaktet dhe u kërkua implementimi i kësaj detyre. Nuk ka provë të ekzekutuar specifike që mbyll të gjithë kriterin; kontrollet globale nuk e zëvendësojnë atë.</s:t>
        </s:is>
      </s:c>
      <s:c r="AD159" s="55" t="inlineStr">
        <s:is>
          <s:t>apps/web/app/pages/app/[org]/[brand]/settings.vue
apps/web/app/components/AccountSecurity.vue
apps/web/app/composables/useWorkspace.ts:124
apps/web/server/api/media/[id].get.ts
DA-10: Eksporti përmban workspace dhe drafts të skedës; fotografitë referohen me URL private dhe nuk futen si bytes. Importet sociale/audit/identity dhe manifest/checksums nuk janë pjesë e këtij eksporti.</s:t>
        </s:is>
      </s:c>
      <s:c r="AE159" s="42" t="inlineStr">
        <s:is>
          <s:t>Pjesërisht — kërkon zhvillim</s:t>
        </s:is>
      </s:c>
      <s:c r="AF159" s="42" t="inlineStr">
        <s:is>
          <s:t>Po</s:t>
        </s:is>
      </s:c>
      <s:c r="AG159" s="42" t="inlineStr">
        <s:is>
          <s:t>Po, pas implementimit</s:t>
        </s:is>
      </s:c>
      <s:c r="AH159" s="42" t="inlineStr">
        <s:is>
          <s:t>Mungojnë organization deletion/danger zone lifecycle dhe testimi i gjithë IA; team/multi-brand është shtyrë. 2.</s:t>
        </s:is>
      </s:c>
      <s:c r="AI159" s="42" t="inlineStr">
        <s:is>
          <s:t>docs/backlog-code-handoff-2026-09-08.json#S7-B07</s:t>
        </s:is>
      </s:c>
      <s:c r="AJ159" s="42" t="inlineStr">
        <s:is>
          <s:t>Programmer B / review: Programmer A</s:t>
        </s:is>
      </s:c>
    </s:row>
    <s:row r="160" ht="180" customHeight="1" s="48">
      <s:c r="A160" s="17" t="inlineStr">
        <s:is>
          <s:t>S7-B08</s:t>
        </s:is>
      </s:c>
      <s:c r="B160" s="18" t="inlineStr">
        <s:is>
          <s:t>S7</s:t>
        </s:is>
      </s:c>
      <s:c r="C160" s="18" t="inlineStr">
        <s:is>
          <s:t>Mobile Productivity</s:t>
        </s:is>
      </s:c>
      <s:c r="D160" s="12" t="inlineStr">
        <s:is>
          <s:t>Implement mobile quick actions and approval flow</s:t>
        </s:is>
      </s:c>
      <s:c r="E160" s="13" t="inlineStr">
        <s:is>
          <s:t>Provide mobile quick-create, notification deep links, approve/reject, reschedule, reconnect and upload flow with touch targets and drawers rather than desktop popovers.</s:t>
        </s:is>
      </s:c>
      <s:c r="F160" s="13" t="inlineStr">
        <s:is>
          <s:t>360px flow passes scripted tasks; no hover-only action; destructive action placement safe.</s:t>
        </s:is>
      </s:c>
      <s:c r="G160" s="18" t="inlineStr">
        <s:is>
          <s:t>S6-B10,S4-B01,S4-B03,S4-B06</s:t>
        </s:is>
      </s:c>
      <s:c r="H160" s="18" t="inlineStr">
        <s:is>
          <s:t>P0</s:t>
        </s:is>
      </s:c>
      <s:c r="I160" s="18" t="inlineStr">
        <s:is>
          <s:t>Programmer B</s:t>
        </s:is>
      </s:c>
      <s:c r="J160" s="18" t="inlineStr">
        <s:is>
          <s:t>Programmer A</s:t>
        </s:is>
      </s:c>
      <s:c r="K160" s="18" t="n">
        <s:v>8</s:v>
      </s:c>
      <s:c r="L160" s="28" t="inlineStr">
        <s:is>
          <s:t>In Progress</s:t>
        </s:is>
      </s:c>
      <s:c r="M160" s="13" t="inlineStr">
        <s:is>
          <s:t>Mobile Playwright + real-device spot</s:t>
        </s:is>
      </s:c>
      <s:c r="N160" s="18" t="inlineStr">
        <s:is>
          <s:t>RG-17</s:t>
        </s:is>
      </s:c>
      <s:c r="O160" s="13" t="inlineStr">
        <s:is>
          <s:t>Same authorization/server rules.</s:t>
        </s:is>
      </s:c>
      <s:c r="P160" s="18" t="inlineStr">
        <s:is>
          <s:t>mobile productivity pass</s:t>
        </s:is>
      </s:c>
      <s:c r="Q160" s="14">
        <s:f>INDEX('01_ROADMAP'!$C$5:$C$15,MATCH(B160,'01_ROADMAP'!$A$5:$A$15,0))</s:f>
        <s:v>46370.0</s:v>
      </s:c>
      <s:c r="R160" s="14">
        <s:f>INDEX('01_ROADMAP'!$D$5:$D$15,MATCH(B160,'01_ROADMAP'!$A$5:$A$15,0))</s:f>
        <s:v>46383.0</s:v>
      </s:c>
      <s:c r="S160" s="29" t="inlineStr">
        <s:is>
          <s:t>docs/backlog-partial-progress-2026-09-08.json#S7-B08</s:t>
        </s:is>
      </s:c>
      <s:c r="T160" s="13" t="inlineStr">
        <s:is>
          <s:t>FRONTEND</s:t>
        </s:is>
      </s:c>
      <s:c r="U160" s="13" t="inlineStr">
        <s:is>
          <s:t>Global</s:t>
        </s:is>
      </s:c>
      <s:c r="V160" s="13" t="inlineStr">
        <s:is>
          <s:t>GA</s:t>
        </s:is>
      </s:c>
      <s:c r="W160" s="13" t="inlineStr">
        <s:is>
          <s:t>Drawer/Slideover/Bottom action patterns.</s:t>
        </s:is>
      </s:c>
      <s:c r="X160" s="13" t="inlineStr">
        <s:is>
          <s:t>Mobile Playwright + real-device spot</s:t>
        </s:is>
      </s:c>
      <s:c r="Y160" s="54" t="inlineStr">
        <s:is>
          <s:t>Pjesërisht</s:t>
        </s:is>
      </s:c>
      <s:c r="Z160" s="56" t="inlineStr">
        <s:is>
          <s:t>Mobile Chromium 390px kalon regjistrim, approval/calendar pa Meta dhe pagination; failed/uncertain veprimet përdorin Nuxt UI controls pa hover-only dependency.</s:t>
        </s:is>
      </s:c>
      <s:c r="AA160" s="56" t="inlineStr">
        <s:is>
          <s:t>Mbeten 360px, pajisje fizike/Safari, reject/deep-link/reschedule/reconnect scripted flow dhe touch-target review.</s:t>
        </s:is>
      </s:c>
      <s:c r="AB160" s="56" t="inlineStr">
        <s:is>
          <s:t>Prova e kërkuar nga backlog-u: Mobile Playwright + real-device spot
Kriteri për t'u verifikuar (nuk deklarohet i kaluar): 360px flow passes scripted tasks; no hover-only action; destructive action placement safe.
DA-03: E2E për failed të sigurt, media/auth error dhe uncertain; përdoruesi arrin korrigjimin pa shkaktuar publikim të dyfishtë.
Pranimi kërkon edhe gate-et: RG-17. Asnjë gate nuk është shënuar Passed nga ky audit.</s:t>
        </s:is>
      </s:c>
      <s:c r="AC160" s="56" t="inlineStr">
        <s:is>
          <s:t>8/8 E2E desktop/mobile kaluan; real-device spot nuk u krye.</s:t>
        </s:is>
      </s:c>
      <s:c r="AD160" s="56" t="inlineStr">
        <s:is>
          <s:t>apps/web/app/components/ContentEditor.vue
apps/web/tests/e2e/optional-meta.spec.ts
apps/web/playwright.config.ts</s:t>
        </s:is>
      </s:c>
      <s:c r="AE160" s="42" t="inlineStr">
        <s:is>
          <s:t>Pjesërisht — kërkon zhvillim</s:t>
        </s:is>
      </s:c>
      <s:c r="AF160" s="42" t="inlineStr">
        <s:is>
          <s:t>Po</s:t>
        </s:is>
      </s:c>
      <s:c r="AG160" s="42" t="inlineStr">
        <s:is>
          <s:t>Po — përzier me punë të jashtme</s:t>
        </s:is>
      </s:c>
      <s:c r="AH160" s="42" t="inlineStr">
        <s:is>
          <s:t>Mbeten 360px, pajisje fizike/Safari, reject/deep-link/reschedule/reconnect scripted flow dhe touch-target review.</s:t>
        </s:is>
      </s:c>
      <s:c r="AI160" s="42" t="inlineStr">
        <s:is>
          <s:t>docs/backlog-code-handoff-2026-09-08.json#S7-B08</s:t>
        </s:is>
      </s:c>
      <s:c r="AJ160" s="42" t="inlineStr">
        <s:is>
          <s:t>Programmer B / review: Programmer A</s:t>
        </s:is>
      </s:c>
    </s:row>
    <s:row r="161" ht="155.1" customHeight="1" s="48">
      <s:c r="A161" s="17" t="inlineStr">
        <s:is>
          <s:t>S7-B09</s:t>
        </s:is>
      </s:c>
      <s:c r="B161" s="18" t="inlineStr">
        <s:is>
          <s:t>S7</s:t>
        </s:is>
      </s:c>
      <s:c r="C161" s="18" t="inlineStr">
        <s:is>
          <s:t>Draft Reliability</s:t>
        </s:is>
      </s:c>
      <s:c r="D161" s="12" t="inlineStr">
        <s:is>
          <s:t>Implement autosave, draft recovery and navigation protection consistently</s:t>
        </s:is>
      </s:c>
      <s:c r="E161" s="13" t="inlineStr">
        <s:is>
          <s:t>Create shared draft composable with debounce, server revision/ETag, retry, dirty state, conflict UI and last-saved indicator for content/strategy/campaign editors.</s:t>
        </s:is>
      </s:c>
      <s:c r="F161" s="13" t="inlineStr">
        <s:is>
          <s:t>Network interruption cannot silently lose accepted edits; conflict never silently overwrites; leave-page behavior explicit.</s:t>
        </s:is>
      </s:c>
      <s:c r="G161" s="18" t="inlineStr">
        <s:is>
          <s:t>S3-B02,S6-B11,S6-B12</s:t>
        </s:is>
      </s:c>
      <s:c r="H161" s="18" t="inlineStr">
        <s:is>
          <s:t>P0</s:t>
        </s:is>
      </s:c>
      <s:c r="I161" s="18" t="inlineStr">
        <s:is>
          <s:t>Programmer B</s:t>
        </s:is>
      </s:c>
      <s:c r="J161" s="18" t="inlineStr">
        <s:is>
          <s:t>Programmer A</s:t>
        </s:is>
      </s:c>
      <s:c r="K161" s="18" t="n">
        <s:v>8</s:v>
      </s:c>
      <s:c r="L161" s="28" t="inlineStr">
        <s:is>
          <s:t>In Review</s:t>
        </s:is>
      </s:c>
      <s:c r="M161" s="13" t="inlineStr">
        <s:is>
          <s:t>Fault E2E</s:t>
        </s:is>
      </s:c>
      <s:c r="N161" s="18" t="inlineStr">
        <s:is>
          <s:t>RG-17</s:t>
        </s:is>
      </s:c>
      <s:c r="O161" s="13" t="inlineStr">
        <s:is>
          <s:t>Local cache contains no secrets; clear on logout/tenant switch.</s:t>
        </s:is>
      </s:c>
      <s:c r="P161" s="18" t="inlineStr">
        <s:is>
          <s:t>draft reliability framework</s:t>
        </s:is>
      </s:c>
      <s:c r="Q161" s="14">
        <s:f>INDEX('01_ROADMAP'!$C$5:$C$15,MATCH(B161,'01_ROADMAP'!$A$5:$A$15,0))</s:f>
        <s:v>46370.0</s:v>
      </s:c>
      <s:c r="R161" s="14">
        <s:f>INDEX('01_ROADMAP'!$D$5:$D$15,MATCH(B161,'01_ROADMAP'!$A$5:$A$15,0))</s:f>
        <s:v>46383.0</s:v>
      </s:c>
      <s:c r="S161" s="29" t="inlineStr">
        <s:is>
          <s:t>docs/backlog-deep-audit-2026-09-07.json#S7-B09</s:t>
        </s:is>
      </s:c>
      <s:c r="T161" s="13" t="inlineStr">
        <s:is>
          <s:t>FRONTEND</s:t>
        </s:is>
      </s:c>
      <s:c r="U161" s="13" t="inlineStr">
        <s:is>
          <s:t>Editors</s:t>
        </s:is>
      </s:c>
      <s:c r="V161" s="13" t="inlineStr">
        <s:is>
          <s:t>GA</s:t>
        </s:is>
      </s:c>
      <s:c r="W161" s="13" t="inlineStr">
        <s:is>
          <s:t>Shared composable + conflict Modal/Toast.</s:t>
        </s:is>
      </s:c>
      <s:c r="X161" s="13" t="inlineStr">
        <s:is>
          <s:t>Fault E2E</s:t>
        </s:is>
      </s:c>
      <s:c r="Y161" s="54" t="inlineStr">
        <s:is>
          <s:t>Implementuar — në pranim</s:t>
        </s:is>
      </s:c>
      <s:c r="Z161" s="55" t="inlineStr">
        <s:is>
          <s:t>Shared useDraft/sessionStorage, server revision, debounce autosave, conflict UI dhe navigation protection për postime.
Klasifikimi 2026-09-08: Autosave/revision/conflict/navigation protection për scope-in posts-only është implementuar; pret fault E2E.</s:t>
        </s:is>
      </s:c>
      <s:c r="AA161" s="55" t="inlineStr">
        <s:is>
          <s:t>1. Duhet fault E2E offline/intermittent/concurrent recovery; strategy/campaign është jashtë scope-it dhe nuk deklarohet përfunduar.</s:t>
        </s:is>
      </s:c>
      <s:c r="AB161" s="55" t="inlineStr">
        <s:is>
          <s:t>Prova e kërkuar nga backlog-u: Fault E2E
Kriteri për t'u verifikuar (nuk deklarohet i kaluar): Network interruption cannot silently lose accepted edits; conflict never silently overwrites; leave-page behavior explicit.
Pranimi kërkon edhe gate-et: RG-17. Asnjë gate nuk është shënuar Passed nga ky audit.</s:t>
        </s:is>
      </s:c>
      <s:c r="AC161" s="55" t="inlineStr">
        <s:is>
          <s:t>U rishikuan kodi/artefaktet dhe u kërkua implementimi i kësaj detyre. Nuk ka provë të ekzekutuar specifike që mbyll të gjithë kriterin; kontrollet globale nuk e zëvendësojnë atë.</s:t>
        </s:is>
      </s:c>
      <s:c r="AD161" s="55" t="inlineStr">
        <s:is>
          <s:t>apps/web/app/composables/useDraft.ts
apps/web/app/composables/useWorkspace.ts
apps/web/app/components/ContentEditor.vue</s:t>
        </s:is>
      </s:c>
      <s:c r="AE161" s="42" t="inlineStr">
        <s:is>
          <s:t>Kryer në kod — pret pranim/gate</s:t>
        </s:is>
      </s:c>
      <s:c r="AF161" s="42" t="inlineStr">
        <s:is>
          <s:t>Jo për scope-in e rreshtit</s:t>
        </s:is>
      </s:c>
      <s:c r="AG161" s="42" t="inlineStr">
        <s:is>
          <s:t>Po</s:t>
        </s:is>
      </s:c>
      <s:c r="AH161" s="42" t="inlineStr">
        <s:is>
          <s:t>Duhet fault E2E offline/intermittent/concurrent recovery; strategy/campaign është jashtë scope-it dhe nuk deklarohet përfunduar.</s:t>
        </s:is>
      </s:c>
      <s:c r="AI161" s="42" t="inlineStr">
        <s:is>
          <s:t>docs/backlog-code-handoff-2026-09-08.json#S7-B09</s:t>
        </s:is>
      </s:c>
      <s:c r="AJ161" s="42" t="inlineStr">
        <s:is>
          <s:t>Programmer B / review: Programmer A</s:t>
        </s:is>
      </s:c>
    </s:row>
    <s:row r="162" ht="155.1" customHeight="1" s="48">
      <s:c r="A162" s="17" t="inlineStr">
        <s:is>
          <s:t>S8-B14</s:t>
        </s:is>
      </s:c>
      <s:c r="B162" s="18" t="inlineStr">
        <s:is>
          <s:t>S8</s:t>
        </s:is>
      </s:c>
      <s:c r="C162" s="18" t="inlineStr">
        <s:is>
          <s:t>Motion System</s:t>
        </s:is>
      </s:c>
      <s:c r="D162" s="12" t="inlineStr">
        <s:is>
          <s:t>Implement Motion for Vue interaction system and reduced-motion QA</s:t>
        </s:is>
      </s:c>
      <s:c r="E162" s="13" t="inlineStr">
        <s:is>
          <s:t>Create motion tokens/wrappers for route/panel/list/reorder/progress/landing sequences; use LazyMotion where appropriate; define reduced-motion equivalents.</s:t>
        </s:is>
      </s:c>
      <s:c r="F162" s="13" t="inlineStr">
        <s:is>
          <s:t>No animation blocks interaction; reduced-motion test passes; dashboard scroll/interaction remains smooth under representative load.</s:t>
        </s:is>
      </s:c>
      <s:c r="G162" s="18" t="inlineStr">
        <s:is>
          <s:t>S0-B02,S0-B09</s:t>
        </s:is>
      </s:c>
      <s:c r="H162" s="18" t="inlineStr">
        <s:is>
          <s:t>P1</s:t>
        </s:is>
      </s:c>
      <s:c r="I162" s="18" t="inlineStr">
        <s:is>
          <s:t>Programmer B</s:t>
        </s:is>
      </s:c>
      <s:c r="J162" s="18" t="inlineStr">
        <s:is>
          <s:t>Programmer A</s:t>
        </s:is>
      </s:c>
      <s:c r="K162" s="18" t="n">
        <s:v>7</s:v>
      </s:c>
      <s:c r="L162" s="28" t="inlineStr">
        <s:is>
          <s:t>In Progress</s:t>
        </s:is>
      </s:c>
      <s:c r="M162" s="13" t="inlineStr">
        <s:is>
          <s:t>Performance + a11y</s:t>
        </s:is>
      </s:c>
      <s:c r="N162" s="18" t="inlineStr">
        <s:is>
          <s:t>RG-17</s:t>
        </s:is>
      </s:c>
      <s:c r="O162" s="13" t="inlineStr">
        <s:is>
          <s:t>Avoid sensitive-data animation snapshots in analytics recordings.</s:t>
        </s:is>
      </s:c>
      <s:c r="P162" s="18" t="inlineStr">
        <s:is>
          <s:t>motion system</s:t>
        </s:is>
      </s:c>
      <s:c r="Q162" s="14">
        <s:f>INDEX('01_ROADMAP'!$C$5:$C$15,MATCH(B162,'01_ROADMAP'!$A$5:$A$15,0))</s:f>
        <s:v>46384.0</s:v>
      </s:c>
      <s:c r="R162" s="14">
        <s:f>INDEX('01_ROADMAP'!$D$5:$D$15,MATCH(B162,'01_ROADMAP'!$A$5:$A$15,0))</s:f>
        <s:v>46397.0</s:v>
      </s:c>
      <s:c r="S162" s="29" t="inlineStr">
        <s:is>
          <s:t>docs/backlog-deep-audit-2026-09-07.json#S8-B14</s:t>
        </s:is>
      </s:c>
      <s:c r="T162" s="13" t="inlineStr">
        <s:is>
          <s:t>FRONTEND</s:t>
        </s:is>
      </s:c>
      <s:c r="U162" s="13" t="inlineStr">
        <s:is>
          <s:t>Global</s:t>
        </s:is>
      </s:c>
      <s:c r="V162" s="13" t="inlineStr">
        <s:is>
          <s:t>GA</s:t>
        </s:is>
      </s:c>
      <s:c r="W162" s="13" t="inlineStr">
        <s:is>
          <s:t>MotionConfig/AnimatePresence/layout/reorder selectively.</s:t>
        </s:is>
      </s:c>
      <s:c r="X162" s="13" t="inlineStr">
        <s:is>
          <s:t>Performance + a11y</s:t>
        </s:is>
      </s:c>
      <s:c r="Y162" s="54" t="inlineStr">
        <s:is>
          <s:t>Pjesërisht</s:t>
        </s:is>
      </s:c>
      <s:c r="Z162" s="56" t="inlineStr">
        <s:is>
          <s:t>Motion for Vue/LandingMotion dhe reduced-motion CSS ekzistojnë.</s:t>
        </s:is>
      </s:c>
      <s:c r="AA162" s="56" t="inlineStr">
        <s:is>
          <s:t>1. Mungon system QA për panel/list/reorder/progress dhe representative-load/reduced-motion tests të build-it aktual.</s:t>
        </s:is>
      </s:c>
      <s:c r="AB162" s="56" t="inlineStr">
        <s:is>
          <s:t>Prova e kërkuar nga backlog-u: Performance + a11y
Kriteri për t'u verifikuar (nuk deklarohet i kaluar): No animation blocks interaction; reduced-motion test passes; dashboard scroll/interaction remains smooth under representative load.
Pranimi kërkon edhe gate-et: RG-17. Asnjë gate nuk është shënuar Passed nga ky audit.</s:t>
        </s:is>
      </s:c>
      <s:c r="AC162" s="56" t="inlineStr">
        <s:is>
          <s:t>U rishikuan kodi/artefaktet dhe u kërkua implementimi i kësaj detyre. Nuk ka provë të ekzekutuar specifike që mbyll të gjithë kriterin; kontrollet globale nuk e zëvendësojnë atë.</s:t>
        </s:is>
      </s:c>
      <s:c r="AD162" s="56" t="inlineStr">
        <s:is>
          <s:t>apps/web/app/components/LandingMotion.vue
apps/web/app/assets/css/main.css
apps/web/package.json</s:t>
        </s:is>
      </s:c>
      <s:c r="AE162" s="42" t="inlineStr">
        <s:is>
          <s:t>Pjesërisht — kërkon zhvillim</s:t>
        </s:is>
      </s:c>
      <s:c r="AF162" s="42" t="inlineStr">
        <s:is>
          <s:t>Po</s:t>
        </s:is>
      </s:c>
      <s:c r="AG162" s="42" t="inlineStr">
        <s:is>
          <s:t>Po, pas implementimit</s:t>
        </s:is>
      </s:c>
      <s:c r="AH162" s="42" t="inlineStr">
        <s:is>
          <s:t>Mungon system QA për panel/list/reorder/progress dhe representative-load/reduced-motion tests të build-it aktual.</s:t>
        </s:is>
      </s:c>
      <s:c r="AI162" s="42" t="inlineStr">
        <s:is>
          <s:t>docs/backlog-code-handoff-2026-09-08.json#S8-B14</s:t>
        </s:is>
      </s:c>
      <s:c r="AJ162" s="42" t="inlineStr">
        <s:is>
          <s:t>Programmer B / review: Programmer A</s:t>
        </s:is>
      </s:c>
    </s:row>
    <s:row r="163" ht="180" customHeight="1" s="48">
      <s:c r="A163" s="17" t="inlineStr">
        <s:is>
          <s:t>S8-B13</s:t>
        </s:is>
      </s:c>
      <s:c r="B163" s="18" t="inlineStr">
        <s:is>
          <s:t>S8</s:t>
        </s:is>
      </s:c>
      <s:c r="C163" s="18" t="inlineStr">
        <s:is>
          <s:t>Guidance UX</s:t>
        </s:is>
      </s:c>
      <s:c r="D163" s="12" t="inlineStr">
        <s:is>
          <s:t>Build contextual help, onboarding checklist and first-run sample path</s:t>
        </s:is>
      </s:c>
      <s:c r="E163" s="13" t="inlineStr">
        <s:is>
          <s:t>Provide a real-account onboarding checklist, contextual explanations, empty-state actions and a first-post path. Remove sample/demo runtime content. New eligible businesses receive the configured 72-hour trial; optional Meta connection does not block first value.</s:t>
        </s:is>
      </s:c>
      <s:c r="F163" s="13" t="inlineStr">
        <s:is>
          <s:t>A fresh account starts with an empty private workspace, has a clear next action and persists real progress. No demonstration tenant or fabricated imported/generated/published result exists. Manual posts can be approved and planned without Meta. Trial eligibility/expiry is server-authoritative; fresh-account UAT and funnel evidence remain required.</s:t>
        </s:is>
      </s:c>
      <s:c r="G163" s="18" t="inlineStr">
        <s:is>
          <s:t>S1-B02,S6-B06</s:t>
        </s:is>
      </s:c>
      <s:c r="H163" s="18" t="inlineStr">
        <s:is>
          <s:t>P1</s:t>
        </s:is>
      </s:c>
      <s:c r="I163" s="18" t="inlineStr">
        <s:is>
          <s:t>Programmer B</s:t>
        </s:is>
      </s:c>
      <s:c r="J163" s="18" t="inlineStr">
        <s:is>
          <s:t>Programmer A</s:t>
        </s:is>
      </s:c>
      <s:c r="K163" s="18" t="n">
        <s:v>6</s:v>
      </s:c>
      <s:c r="L163" s="31" t="inlineStr">
        <s:is>
          <s:t>In Review</s:t>
        </s:is>
      </s:c>
      <s:c r="M163" s="13" t="inlineStr">
        <s:is>
          <s:t>UAT + product telemetry</s:t>
        </s:is>
      </s:c>
      <s:c r="N163" s="18" t="inlineStr">
        <s:is>
          <s:t>RG-17</s:t>
        </s:is>
      </s:c>
      <s:c r="O163" s="13" t="inlineStr">
        <s:is>
          <s:t>No fake production account connection.</s:t>
        </s:is>
      </s:c>
      <s:c r="P163" s="18" t="inlineStr">
        <s:is>
          <s:t>guided activation UX</s:t>
        </s:is>
      </s:c>
      <s:c r="Q163" s="14">
        <s:f>INDEX('01_ROADMAP'!$C$5:$C$15,MATCH(B163,'01_ROADMAP'!$A$5:$A$15,0))</s:f>
        <s:v>46384.0</s:v>
      </s:c>
      <s:c r="R163" s="14">
        <s:f>INDEX('01_ROADMAP'!$D$5:$D$15,MATCH(B163,'01_ROADMAP'!$A$5:$A$15,0))</s:f>
        <s:v>46397.0</s:v>
      </s:c>
      <s:c r="S163" s="29" t="inlineStr">
        <s:is>
          <s:t>docs/backlog-partial-progress-2026-09-08.json#S8-B13</s:t>
        </s:is>
      </s:c>
      <s:c r="T163" s="13" t="inlineStr">
        <s:is>
          <s:t>FRONTEND</s:t>
        </s:is>
      </s:c>
      <s:c r="U163" s="13" t="inlineStr">
        <s:is>
          <s:t>Onboarding/Dashboard</s:t>
        </s:is>
      </s:c>
      <s:c r="V163" s="13" t="inlineStr">
        <s:is>
          <s:t>GA</s:t>
        </s:is>
      </s:c>
      <s:c r="W163" s="13" t="inlineStr">
        <s:is>
          <s:t>Progress/Empty/Popover/Drawer.</s:t>
        </s:is>
      </s:c>
      <s:c r="X163" s="13" t="inlineStr">
        <s:is>
          <s:t>UAT + product telemetry</s:t>
        </s:is>
      </s:c>
      <s:c r="Y163" s="58" t="inlineStr">
        <s:is>
          <s:t>Implementuar — në pranim</s:t>
        </s:is>
      </s:c>
      <s:c r="Z163" s="55" t="inlineStr">
        <s:is>
          <s:t>Dokumentet/copy ndjekin backend-in real; help/pricing/settings lexojnë capability e verifikimit, Meta është opsionale dhe nuk ka runtime demo. Fresh account ruan progres real.</s:t>
        </s:is>
      </s:c>
      <s:c r="AA163" s="55" t="inlineStr">
        <s:is>
          <s:t>Mbeten checklist/funnel telemetry, UAT me biznese reale dhe RG-17.</s:t>
        </s:is>
      </s:c>
      <s:c r="AB163" s="55" t="inlineStr">
        <s:is>
          <s:t>Prova e kërkuar nga backlog-u: UAT + product telemetry
Kriteri për t'u verifikuar (nuk deklarohet i kaluar): A fresh account starts with an empty private workspace, has a clear next action and persists real progress. No demonstration tenant or fabricated imported/generated/published result exists. Manual posts can be approved and planned without Meta. Trial eligibility/expiry is server-authoritative; fresh-account UAT and funnel evidence remain required.
DA-13: Content review në local bypass dhe public verification, pa përshkrime të shërbimeve të paaktivizuara si aktive; operatori pranon versionin publik.
Pranimi kërkon edhe gate-et: RG-17. Asnjë gate nuk është shënuar Passed nga ky audit.</s:t>
        </s:is>
      </s:c>
      <s:c r="AC163" s="55" t="inlineStr">
        <s:is>
          <s:t>Content review statik, lint/types dhe fresh-account E2E kaluan. Product telemetry/UAT mungojnë.</s:t>
        </s:is>
      </s:c>
      <s:c r="AD163" s="55" t="inlineStr">
        <s:is>
          <s:t>apps/web/app/pages/help.vue
apps/web/app/pages/pricing.vue
apps/web/app/components/CopilotPanel.vue
docs/FRONTEND-STATUS.md
docs/PRODUCT-SCOPE.md</s:t>
        </s:is>
      </s:c>
      <s:c r="AE163" s="42" t="inlineStr">
        <s:is>
          <s:t>Kryer në kod — pret pranim/gate</s:t>
        </s:is>
      </s:c>
      <s:c r="AF163" s="42" t="inlineStr">
        <s:is>
          <s:t>Jo për scope-in e rreshtit</s:t>
        </s:is>
      </s:c>
      <s:c r="AG163" s="42" t="inlineStr">
        <s:is>
          <s:t>Po</s:t>
        </s:is>
      </s:c>
      <s:c r="AH163" s="42" t="inlineStr">
        <s:is>
          <s:t>Mbeten checklist/funnel telemetry, UAT me biznese reale dhe RG-17.</s:t>
        </s:is>
      </s:c>
      <s:c r="AI163" s="42" t="inlineStr">
        <s:is>
          <s:t>docs/backlog-code-handoff-2026-09-08.json#S8-B13</s:t>
        </s:is>
      </s:c>
      <s:c r="AJ163" s="42" t="inlineStr">
        <s:is>
          <s:t>Programmer B / review: Programmer A</s:t>
        </s:is>
      </s:c>
    </s:row>
    <s:row r="164" ht="180" customHeight="1" s="48">
      <s:c r="A164" s="17" t="inlineStr">
        <s:is>
          <s:t>S8-A10</s:t>
        </s:is>
      </s:c>
      <s:c r="B164" s="18" t="inlineStr">
        <s:is>
          <s:t>S8</s:t>
        </s:is>
      </s:c>
      <s:c r="C164" s="18" t="inlineStr">
        <s:is>
          <s:t>Compliance Release</s:t>
        </s:is>
      </s:c>
      <s:c r="D164" s="12" t="inlineStr">
        <s:is>
          <s:t>Close privacy/legal implementation evidence pack</s:t>
        </s:is>
      </s:c>
      <s:c r="E164" s="13" t="inlineStr">
        <s:is>
          <s:t>Verify Terms/Privacy/subprocessor/data inventory/retention/provider deletion callback configuration against implemented flows; link owner-approved evidence to release gate.</s:t>
        </s:is>
      </s:c>
      <s:c r="F164" s="13" t="inlineStr">
        <s:is>
          <s:t>No known undocumented personal/social data flow; deletion/export runbook matches product; unresolved legal blocker explicitly blocks GA.</s:t>
        </s:is>
      </s:c>
      <s:c r="G164" s="18" t="inlineStr">
        <s:is>
          <s:t>S7-A05,S6-A04,S6-A05</s:t>
        </s:is>
      </s:c>
      <s:c r="H164" s="18" t="inlineStr">
        <s:is>
          <s:t>P0</s:t>
        </s:is>
      </s:c>
      <s:c r="I164" s="18" t="inlineStr">
        <s:is>
          <s:t>Programmer A</s:t>
        </s:is>
      </s:c>
      <s:c r="J164" s="18" t="inlineStr">
        <s:is>
          <s:t>Programmer B</s:t>
        </s:is>
      </s:c>
      <s:c r="K164" s="18" t="n">
        <s:v>6</s:v>
      </s:c>
      <s:c r="L164" s="28" t="inlineStr">
        <s:is>
          <s:t>In Progress</s:t>
        </s:is>
      </s:c>
      <s:c r="M164" s="13" t="inlineStr">
        <s:is>
          <s:t>Release checklist</s:t>
        </s:is>
      </s:c>
      <s:c r="N164" s="18" t="inlineStr">
        <s:is>
          <s:t>RG-09</s:t>
        </s:is>
      </s:c>
      <s:c r="O164" s="13" t="inlineStr">
        <s:is>
          <s:t>Engineering evidence only; legal approval owner identified.</s:t>
        </s:is>
      </s:c>
      <s:c r="P164" s="18" t="inlineStr">
        <s:is>
          <s:t>privacy/compliance evidence</s:t>
        </s:is>
      </s:c>
      <s:c r="Q164" s="14">
        <s:f>INDEX('01_ROADMAP'!$C$5:$C$15,MATCH(B164,'01_ROADMAP'!$A$5:$A$15,0))</s:f>
        <s:v>46384.0</s:v>
      </s:c>
      <s:c r="R164" s="14">
        <s:f>INDEX('01_ROADMAP'!$D$5:$D$15,MATCH(B164,'01_ROADMAP'!$A$5:$A$15,0))</s:f>
        <s:v>46397.0</s:v>
      </s:c>
      <s:c r="S164" s="29" t="inlineStr">
        <s:is>
          <s:t>docs/backlog-partial-progress-2026-09-08.json#S8-A10</s:t>
        </s:is>
      </s:c>
      <s:c r="T164" s="13" t="inlineStr">
        <s:is>
          <s:t>LEGAL/OPS</s:t>
        </s:is>
      </s:c>
      <s:c r="U164" s="13" t="inlineStr">
        <s:is>
          <s:t>Privacy</s:t>
        </s:is>
      </s:c>
      <s:c r="V164" s="13" t="inlineStr">
        <s:is>
          <s:t>GA</s:t>
        </s:is>
      </s:c>
      <s:c r="W164" s="13" t="inlineStr">
        <s:is>
          <s:t>UI legal links match published docs.</s:t>
        </s:is>
      </s:c>
      <s:c r="X164" s="13" t="inlineStr">
        <s:is>
          <s:t>Release checklist</s:t>
        </s:is>
      </s:c>
      <s:c r="Y164" s="54" t="inlineStr">
        <s:is>
          <s:t>Pjesërisht</s:t>
        </s:is>
      </s:c>
      <s:c r="Z164" s="56" t="inlineStr">
        <s:is>
          <s:t>Retention policy/job dhe rights-withdrawal lifecycle tani kanë implementim dhe prova lokale; dokumentet e platformës dallojnë qartë kufirin lokal nga gates production.</s:t>
        </s:is>
      </s:c>
      <s:c r="AA164" s="56" t="inlineStr">
        <s:is>
          <s:t>Mbeten export/purge runbooks të provuara, deletion callback, inventory/subprocessors/DPA dhe miratim ligjor i pronarit; RG-09 nuk është mbyllur.</s:t>
        </s:is>
      </s:c>
      <s:c r="AB164" s="56" t="inlineStr">
        <s:is>
          <s:t>Prova e kërkuar nga backlog-u: Release checklist
Kriteri për t'u verifikuar (nuk deklarohet i kaluar): No known undocumented personal/social data flow; deletion/export runbook matches product; unresolved legal blocker explicitly blocks GA.
DA-10: Eksport me fotografi/import/history; kontrollo manifest/checksum dhe qasjen/expiry nga llogari tjetër. Mos e paraqit JSON-in aktual si backup të plotë.
DA-11: Revoko të drejtat e asset-it në postim të planifikuar, verifiko bllokimin e publikimit; provo purge/resume dhe përjashtimet e dokumentuara të ruajtjes.
DA-13: Content review në local bypass dhe public verification, pa përshkrime të shërbimeve të paaktivizuara si aktive; operatori pranon versionin publik.
Pranimi kërkon edhe gate-et: RG-09. Asnjë gate nuk është shënuar Passed nga ky audit.</s:t>
        </s:is>
      </s:c>
      <s:c r="AC164" s="56" t="inlineStr">
        <s:is>
          <s:t>Retention DB test, rights E2E dhe dokumentet e sinkronizuara kaluan auditin lokal.</s:t>
        </s:is>
      </s:c>
      <s:c r="AD164" s="56" t="inlineStr">
        <s:is>
          <s:t>apps/web/database/migrations/0012_retention_policy.sql
apps/web/server/utils/retention.ts
apps/web/server/api/media/[id]/rights.post.ts
docs/BACKEND-HANDOFF.md</s:t>
        </s:is>
      </s:c>
      <s:c r="AE164" s="42" t="inlineStr">
        <s:is>
          <s:t>Pjesërisht — kërkon zhvillim</s:t>
        </s:is>
      </s:c>
      <s:c r="AF164" s="42" t="inlineStr">
        <s:is>
          <s:t>Po</s:t>
        </s:is>
      </s:c>
      <s:c r="AG164" s="42" t="inlineStr">
        <s:is>
          <s:t>Po — përzier me punë të jashtme</s:t>
        </s:is>
      </s:c>
      <s:c r="AH164" s="42" t="inlineStr">
        <s:is>
          <s:t>Mbeten export/purge runbooks të provuara, deletion callback, inventory/subprocessors/DPA dhe miratim ligjor i pronarit; RG-09 nuk është mbyllur.</s:t>
        </s:is>
      </s:c>
      <s:c r="AI164" s="42" t="inlineStr">
        <s:is>
          <s:t>docs/backlog-code-handoff-2026-09-08.json#S8-A10</s:t>
        </s:is>
      </s:c>
      <s:c r="AJ164" s="42" t="inlineStr">
        <s:is>
          <s:t>Programmer A / review: Programmer B</s:t>
        </s:is>
      </s:c>
    </s:row>
    <s:row r="165" ht="180" customHeight="1" s="48">
      <s:c r="A165" s="17" t="inlineStr">
        <s:is>
          <s:t>S8-A11</s:t>
        </s:is>
      </s:c>
      <s:c r="B165" s="18" t="inlineStr">
        <s:is>
          <s:t>S8</s:t>
        </s:is>
      </s:c>
      <s:c r="C165" s="18" t="inlineStr">
        <s:is>
          <s:t>Fault Injection</s:t>
        </s:is>
      </s:c>
      <s:c r="D165" s="12" t="inlineStr">
        <s:is>
          <s:t>Run end-to-end provider/queue/AI/billing failure campaign</s:t>
        </s:is>
      </s:c>
      <s:c r="E165" s="13" t="inlineStr">
        <s:is>
          <s:t>Inject timeouts, duplicate webhooks/messages, revoked tokens, provider 429/5xx, image failure, payment callback disorder and queue restart across staging.</s:t>
        </s:is>
      </s:c>
      <s:c r="F165" s="13" t="inlineStr">
        <s:is>
          <s:t>No duplicate publish/charge/content version; retries bounded; user-visible remediation correct; SLO/alerts fire for selected faults.</s:t>
        </s:is>
      </s:c>
      <s:c r="G165" s="18" t="inlineStr">
        <s:is>
          <s:t>S4-A09,S7-A04,S7-A09</s:t>
        </s:is>
      </s:c>
      <s:c r="H165" s="18" t="inlineStr">
        <s:is>
          <s:t>P0</s:t>
        </s:is>
      </s:c>
      <s:c r="I165" s="18" t="inlineStr">
        <s:is>
          <s:t>Programmer A</s:t>
        </s:is>
      </s:c>
      <s:c r="J165" s="18" t="inlineStr">
        <s:is>
          <s:t>Programmer B</s:t>
        </s:is>
      </s:c>
      <s:c r="K165" s="18" t="n">
        <s:v>9</s:v>
      </s:c>
      <s:c r="L165" s="28" t="inlineStr">
        <s:is>
          <s:t>In Progress</s:t>
        </s:is>
      </s:c>
      <s:c r="M165" s="13" t="inlineStr">
        <s:is>
          <s:t>Fault injection evidence</s:t>
        </s:is>
      </s:c>
      <s:c r="N165" s="18" t="inlineStr">
        <s:is>
          <s:t>RG-07,RG-10,RG-12</s:t>
        </s:is>
      </s:c>
      <s:c r="O165" s="13" t="inlineStr">
        <s:is>
          <s:t>Use sandbox/synthetic data.</s:t>
        </s:is>
      </s:c>
      <s:c r="P165" s="18" t="inlineStr">
        <s:is>
          <s:t>fault campaign report</s:t>
        </s:is>
      </s:c>
      <s:c r="Q165" s="14">
        <s:f>INDEX('01_ROADMAP'!$C$5:$C$15,MATCH(B165,'01_ROADMAP'!$A$5:$A$15,0))</s:f>
        <s:v>46384.0</s:v>
      </s:c>
      <s:c r="R165" s="14">
        <s:f>INDEX('01_ROADMAP'!$D$5:$D$15,MATCH(B165,'01_ROADMAP'!$A$5:$A$15,0))</s:f>
        <s:v>46397.0</s:v>
      </s:c>
      <s:c r="S165" s="29" t="inlineStr">
        <s:is>
          <s:t>docs/backlog-partial-progress-2026-09-08.json#S8-A11</s:t>
        </s:is>
      </s:c>
      <s:c r="T165" s="13" t="inlineStr">
        <s:is>
          <s:t>QA/OPS</s:t>
        </s:is>
      </s:c>
      <s:c r="U165" s="13" t="inlineStr">
        <s:is>
          <s:t>Platform</s:t>
        </s:is>
      </s:c>
      <s:c r="V165" s="13" t="inlineStr">
        <s:is>
          <s:t>GA</s:t>
        </s:is>
      </s:c>
      <s:c r="W165" s="13" t="inlineStr">
        <s:is>
          <s:t>Frontend degraded states validated with B task.</s:t>
        </s:is>
      </s:c>
      <s:c r="X165" s="13" t="inlineStr">
        <s:is>
          <s:t>Fault injection evidence</s:t>
        </s:is>
      </s:c>
      <s:c r="Y165" s="54" t="inlineStr">
        <s:is>
          <s:t>Pjesërisht</s:t>
        </s:is>
      </s:c>
      <s:c r="Z165" s="55" t="inlineStr">
        <s:is>
          <s:t>Përveç version/tenant guards dhe container timeout, provider fixture tani ekzekuton dy worker-a, success, duplicate claim dhe timeout-after-write me reconciliation pa ridërgim.</s:t>
        </s:is>
      </s:c>
      <s:c r="AA165" s="55" t="inlineStr">
        <s:is>
          <s:t>Mbetet staged campaign për 429/5xx/auth/media/process crash, AI provider dhe billing me alerts/SLO; nuk ka fault campaign të jashtëm.</s:t>
        </s:is>
      </s:c>
      <s:c r="AB165" s="55" t="inlineStr">
        <s:is>
          <s:t>Prova e kërkuar nga backlog-u: Fault injection evidence
Kriteri për t'u verifikuar (nuk deklarohet i kaluar): No duplicate publish/charge/content version; retries bounded; user-visible remediation correct; SLO/alerts fire for selected faults.
DA-01: Fixture: job i krijuar dje, container i krijuar tani, IN_PROGRESS pastaj FINISHED; publikim vetëm një herë. Provo veçmas skadimin real të container-it.
DA-14: Facebook dhe Instagram: sukses, 429, 5xx, crash, expired token, cancel, timeout-after-write dhe dy worker-a; arkivo provider IDs pa tokenë.
Pranimi kërkon edhe gate-et: RG-07,RG-10,RG-12. Asnjë gate nuk është shënuar Passed nga ky audit.</s:t>
        </s:is>
      </s:c>
      <s:c r="AC165" s="55" t="inlineStr">
        <s:is>
          <s:t>47/47 unit/integration kaluan, përfshirë worker/provider ambiguous-outcome fixture; billing dhe provider live nuk u thirrën.</s:t>
        </s:is>
      </s:c>
      <s:c r="AD165" s="55" t="inlineStr">
        <s:is>
          <s:t>apps/web/tests/integration/server.test.ts
apps/web/server/utils/publishing.ts
apps/web/database/migrations/0009_immutable_content_versions.sql</s:t>
        </s:is>
      </s:c>
      <s:c r="AE165" s="42" t="inlineStr">
        <s:is>
          <s:t>Pjesërisht — kërkon zhvillim</s:t>
        </s:is>
      </s:c>
      <s:c r="AF165" s="42" t="inlineStr">
        <s:is>
          <s:t>Po</s:t>
        </s:is>
      </s:c>
      <s:c r="AG165" s="42" t="inlineStr">
        <s:is>
          <s:t>Po — përzier me punë të jashtme</s:t>
        </s:is>
      </s:c>
      <s:c r="AH165" s="42" t="inlineStr">
        <s:is>
          <s:t>Mbetet staged campaign për 429/5xx/auth/media/process crash, AI provider dhe billing me alerts/SLO; nuk ka fault campaign të jashtëm.</s:t>
        </s:is>
      </s:c>
      <s:c r="AI165" s="42" t="inlineStr">
        <s:is>
          <s:t>docs/backlog-code-handoff-2026-09-08.json#S8-A11</s:t>
        </s:is>
      </s:c>
      <s:c r="AJ165" s="42" t="inlineStr">
        <s:is>
          <s:t>Programmer A / review: Programmer B</s:t>
        </s:is>
      </s:c>
    </s:row>
    <s:row r="166" ht="159" customHeight="1" s="48">
      <s:c r="A166" s="17" t="inlineStr">
        <s:is>
          <s:t>S8-A12</s:t>
        </s:is>
      </s:c>
      <s:c r="B166" s="18" t="inlineStr">
        <s:is>
          <s:t>S8</s:t>
        </s:is>
      </s:c>
      <s:c r="C166" s="18" t="inlineStr">
        <s:is>
          <s:t>Launch Economics</s:t>
        </s:is>
      </s:c>
      <s:c r="D166" s="12" t="inlineStr">
        <s:is>
          <s:t>Validate GA plan cost envelopes under realistic workload</s:t>
        </s:is>
      </s:c>
      <s:c r="E166" s="13" t="inlineStr">
        <s:is>
          <s:t>Replay representative Starter/Growth/Pro monthly AI/image workloads through usage estimator/ledger and verify hard-budget behavior.</s:t>
        </s:is>
      </s:c>
      <s:c r="F166" s="13" t="inlineStr">
        <s:is>
          <s:t>Projected COGS within approved envelope or pricing/limits changed before launch; no unlimited expensive path.</s:t>
        </s:is>
      </s:c>
      <s:c r="G166" s="18" t="inlineStr">
        <s:is>
          <s:t>S6-A13,S7-A09</s:t>
        </s:is>
      </s:c>
      <s:c r="H166" s="18" t="inlineStr">
        <s:is>
          <s:t>P0</s:t>
        </s:is>
      </s:c>
      <s:c r="I166" s="18" t="inlineStr">
        <s:is>
          <s:t>Programmer A</s:t>
        </s:is>
      </s:c>
      <s:c r="J166" s="18" t="inlineStr">
        <s:is>
          <s:t>Programmer B</s:t>
        </s:is>
      </s:c>
      <s:c r="K166" s="18" t="n">
        <s:v>5</s:v>
      </s:c>
      <s:c r="L166" s="30" t="inlineStr">
        <s:is>
          <s:t>Not Started</s:t>
        </s:is>
      </s:c>
      <s:c r="M166" s="13" t="inlineStr">
        <s:is>
          <s:t>Replay/load evidence</s:t>
        </s:is>
      </s:c>
      <s:c r="N166" s="18" t="inlineStr">
        <s:is>
          <s:t>RG-18</s:t>
        </s:is>
      </s:c>
      <s:c r="O166" s="13" t="inlineStr">
        <s:is>
          <s:t>No live customer data required.</s:t>
        </s:is>
      </s:c>
      <s:c r="P166" s="18" t="inlineStr">
        <s:is>
          <s:t>launch economics report</s:t>
        </s:is>
      </s:c>
      <s:c r="Q166" s="14">
        <s:f>INDEX('01_ROADMAP'!$C$5:$C$15,MATCH(B166,'01_ROADMAP'!$A$5:$A$15,0))</s:f>
        <s:v>46384.0</s:v>
      </s:c>
      <s:c r="R166" s="14">
        <s:f>INDEX('01_ROADMAP'!$D$5:$D$15,MATCH(B166,'01_ROADMAP'!$A$5:$A$15,0))</s:f>
        <s:v>46397.0</s:v>
      </s:c>
      <s:c r="S166" s="29" t="inlineStr">
        <s:is>
          <s:t>docs/backlog-deep-audit-2026-09-07.json#S8-A12</s:t>
        </s:is>
      </s:c>
      <s:c r="T166" s="13" t="inlineStr">
        <s:is>
          <s:t>AI/BILLING</s:t>
        </s:is>
      </s:c>
      <s:c r="U166" s="13" t="inlineStr">
        <s:is>
          <s:t>Admin/Support</s:t>
        </s:is>
      </s:c>
      <s:c r="V166" s="13" t="inlineStr">
        <s:is>
          <s:t>GA</s:t>
        </s:is>
      </s:c>
      <s:c r="W166" s="13" t="inlineStr">
        <s:is>
          <s:t>Usage UI matches configured limits.</s:t>
        </s:is>
      </s:c>
      <s:c r="X166" s="13" t="inlineStr">
        <s:is>
          <s:t>Replay/load evidence</s:t>
        </s:is>
      </s:c>
      <s:c r="Y166" s="57" t="inlineStr">
        <s:is>
          <s:t>Pa filluar</s:t>
        </s:is>
      </s:c>
      <s:c r="Z166" s="56" t="inlineStr">
        <s:is>
          <s:t>Plan catalog ka çmime të propozuara dhe AI daily request limit.</s:t>
        </s:is>
      </s:c>
      <s:c r="AA166" s="56" t="inlineStr">
        <s:is>
          <s:t>1. Nuk ka token/image cost model, approved COGS envelope, reserve ledger ose workload replay/hard-budget evidence.
2. DA-12: Ndaj rate limit nga kreditë monetare; ruaj usage dhe gjendjen e rezervimit me concurrency guards dhe politikë të qartë për dështimet.</s:t>
        </s:is>
      </s:c>
      <s:c r="AB166" s="56" t="inlineStr">
        <s:is>
          <s:t>Prova e kërkuar nga backlog-u: Replay/load evidence
Kriteri për t'u verifikuar (nuk deklarohet i kaluar): Projected COGS within approved envelope or pricing/limits changed before launch; no unlimited expensive path.
DA-12: Kërkesa paralele, provider timeout/error/duplicate, release vetëm një herë dhe ndalim para tejkalimit të buxhetit; replay i kostove për secilin plan.
Pranimi kërkon edhe gate-et: RG-18. Asnjë gate nuk është shënuar Passed nga ky audit.</s:t>
        </s:is>
      </s:c>
      <s:c r="AC166" s="56" t="inlineStr">
        <s:is>
          <s:t>U rishikuan kodi/artefaktet dhe u kërkua implementimi i kësaj detyre. Nuk ka provë të ekzekutuar specifike që mbyll të gjithë kriterin; kontrollet globale nuk e zëvendësojnë atë.</s:t>
        </s:is>
      </s:c>
      <s:c r="AD166" s="56" t="inlineStr">
        <s:is>
          <s:t>apps/web/database/migrations/0002_businesses.sql
apps/web/database/migrations/0006_ai_usage.sql
apps/web/server/api/ai/captions.post.ts
DA-12: Kërkesat kanë UUID dhe limit ditor, por mungojnë estimate/reserve/commit/release për kosto reale, usage tokens/images, refund policy dhe anomaly breaker. Dështimi pas rezervimit konsumon numëruesin e kërkesave.</s:t>
        </s:is>
      </s:c>
      <s:c r="AE166" s="42" t="inlineStr">
        <s:is>
          <s:t>Pa filluar</s:t>
        </s:is>
      </s:c>
      <s:c r="AF166" s="42" t="inlineStr">
        <s:is>
          <s:t>Po</s:t>
        </s:is>
      </s:c>
      <s:c r="AG166" s="42" t="inlineStr">
        <s:is>
          <s:t>Po, pas implementimit</s:t>
        </s:is>
      </s:c>
      <s:c r="AH166" s="42" t="inlineStr">
        <s:is>
          <s:t>Nuk ka token/image cost model, approved COGS envelope, reserve ledger ose workload replay/hard-budget evidence. 2.</s:t>
        </s:is>
      </s:c>
      <s:c r="AI166" s="42" t="inlineStr">
        <s:is>
          <s:t>docs/backlog-code-handoff-2026-09-08.json#S8-A12</s:t>
        </s:is>
      </s:c>
      <s:c r="AJ166" s="42" t="inlineStr">
        <s:is>
          <s:t>Programmer A / review: Programmer B</s:t>
        </s:is>
      </s:c>
    </s:row>
    <s:row r="167" ht="159" customHeight="1" s="48">
      <s:c r="A167" s="17" t="inlineStr">
        <s:is>
          <s:t>S8-B10</s:t>
        </s:is>
      </s:c>
      <s:c r="B167" s="18" t="inlineStr">
        <s:is>
          <s:t>S8</s:t>
        </s:is>
      </s:c>
      <s:c r="C167" s="18" t="inlineStr">
        <s:is>
          <s:t>Performance UX</s:t>
        </s:is>
      </s:c>
      <s:c r="D167" s="12" t="inlineStr">
        <s:is>
          <s:t>Close frontend performance and Web Vitals budget</s:t>
        </s:is>
      </s:c>
      <s:c r="E167" s="13" t="inlineStr">
        <s:is>
          <s:t>Measure public and authenticated representative routes; lazy-load editor/chat/motion/charts; optimize image thumbnails and route bundles.</s:t>
        </s:is>
      </s:c>
      <s:c r="F167" s="13" t="inlineStr">
        <s:is>
          <s:t>No agreed budget regression on GA routes; loading skeletons stable; no serious CLS from async content.</s:t>
        </s:is>
      </s:c>
      <s:c r="G167" s="18" t="inlineStr">
        <s:is>
          <s:t>S5-B07,S8-B14</s:t>
        </s:is>
      </s:c>
      <s:c r="H167" s="18" t="inlineStr">
        <s:is>
          <s:t>P0</s:t>
        </s:is>
      </s:c>
      <s:c r="I167" s="18" t="inlineStr">
        <s:is>
          <s:t>Programmer B</s:t>
        </s:is>
      </s:c>
      <s:c r="J167" s="18" t="inlineStr">
        <s:is>
          <s:t>Programmer A</s:t>
        </s:is>
      </s:c>
      <s:c r="K167" s="18" t="n">
        <s:v>8</s:v>
      </s:c>
      <s:c r="L167" s="28" t="inlineStr">
        <s:is>
          <s:t>In Progress</s:t>
        </s:is>
      </s:c>
      <s:c r="M167" s="13" t="inlineStr">
        <s:is>
          <s:t>Perf CI/report</s:t>
        </s:is>
      </s:c>
      <s:c r="N167" s="18" t="inlineStr">
        <s:is>
          <s:t>RG-11,RG-17</s:t>
        </s:is>
      </s:c>
      <s:c r="O167" s="13" t="inlineStr">
        <s:is>
          <s:t>Monitoring payload privacy-reviewed.</s:t>
        </s:is>
      </s:c>
      <s:c r="P167" s="18" t="inlineStr">
        <s:is>
          <s:t>frontend performance report</s:t>
        </s:is>
      </s:c>
      <s:c r="Q167" s="14">
        <s:f>INDEX('01_ROADMAP'!$C$5:$C$15,MATCH(B167,'01_ROADMAP'!$A$5:$A$15,0))</s:f>
        <s:v>46384.0</s:v>
      </s:c>
      <s:c r="R167" s="14">
        <s:f>INDEX('01_ROADMAP'!$D$5:$D$15,MATCH(B167,'01_ROADMAP'!$A$5:$A$15,0))</s:f>
        <s:v>46397.0</s:v>
      </s:c>
      <s:c r="S167" s="29" t="inlineStr">
        <s:is>
          <s:t>docs/backlog-deep-audit-2026-09-07.json#S8-B10</s:t>
        </s:is>
      </s:c>
      <s:c r="T167" s="13" t="inlineStr">
        <s:is>
          <s:t>FRONTEND/QA</s:t>
        </s:is>
      </s:c>
      <s:c r="U167" s="13" t="inlineStr">
        <s:is>
          <s:t>Global</s:t>
        </s:is>
      </s:c>
      <s:c r="V167" s="13" t="inlineStr">
        <s:is>
          <s:t>GA</s:t>
        </s:is>
      </s:c>
      <s:c r="W167" s="13" t="inlineStr">
        <s:is>
          <s:t>Nuxt analyze + Web Vitals + representative throttling.</s:t>
        </s:is>
      </s:c>
      <s:c r="X167" s="13" t="inlineStr">
        <s:is>
          <s:t>Perf CI/report</s:t>
        </s:is>
      </s:c>
      <s:c r="Y167" s="54" t="inlineStr">
        <s:is>
          <s:t>Pjesërisht</s:t>
        </s:is>
      </s:c>
      <s:c r="Z167" s="55" t="inlineStr">
        <s:is>
          <s:t>Bundle-budget script dhe raport historik frontend ekzistojnë; route splitting/lazy media përdoren.</s:t>
        </s:is>
      </s:c>
      <s:c r="AA167" s="55" t="inlineStr">
        <s:is>
          <s:t>1. Duhet build aktual, Web Vitals/CLS/route budget evidence; payload-i i plotë i workspace dhe mungesa e thumbnails mbeten për optimizim.
2. DA-09: Shto API të kufizuara për lista/kërkim dhe commands të veçanta për mutacione, me revision/idempotency dhe thumbnails sipas nevojës.</s:t>
        </s:is>
      </s:c>
      <s:c r="AB167" s="55" t="inlineStr">
        <s:is>
          <s:t>Prova e kërkuar nga backlog-u: Perf CI/report
Kriteri për t'u verifikuar (nuk deklarohet i kaluar): No agreed budget regression on GA routes; loading skeletons stable; no serious CLS from async content.
DA-09: Fixture 500+ asset dhe 1000 postime: mat bytes/p95/memorien; filtër/cursor nuk kalon tenant-in dhe ndryshimi i një postimi nuk rishkruan gjithë listën.
Pranimi kërkon edhe gate-et: RG-11,RG-17. Asnjë gate nuk është shënuar Passed nga ky audit.</s:t>
        </s:is>
      </s:c>
      <s:c r="AC167" s="55" t="inlineStr">
        <s:is>
          <s:t>U rishikuan kodi/artefaktet dhe u kërkua implementimi i kësaj detyre. Nuk ka provë të ekzekutuar specifike që mbyll të gjithë kriterin; kontrollet globale nuk e zëvendësojnë atë.</s:t>
        </s:is>
      </s:c>
      <s:c r="AD167" s="55" t="inlineStr">
        <s:is>
          <s:t>apps/web/scripts/bundle-budget.mjs
docs/VALIDATION.md
apps/web/server/utils/workspaces.ts
apps/web/app/composables/usePagination.ts:12
apps/web/app/composables/useWorkspace.ts:27
apps/web/app/composables/useWorkspace.ts:54
apps/web/app/layouts/dashboard.vue:102
DA-09: Listat e postimeve/galerisë dhe kërkimi global ngarkojnë workspace-in e plotë; ruajtjet dërgojnë snapshot të plotë. Importet Meta kanë query pagination të veçantë. Prova me 13 postime kalon, por nuk është provë ngarkese.</s:t>
        </s:is>
      </s:c>
      <s:c r="AE167" s="42" t="inlineStr">
        <s:is>
          <s:t>Pjesërisht — kërkon zhvillim</s:t>
        </s:is>
      </s:c>
      <s:c r="AF167" s="42" t="inlineStr">
        <s:is>
          <s:t>Po</s:t>
        </s:is>
      </s:c>
      <s:c r="AG167" s="42" t="inlineStr">
        <s:is>
          <s:t>Po, pas implementimit</s:t>
        </s:is>
      </s:c>
      <s:c r="AH167" s="42" t="inlineStr">
        <s:is>
          <s:t>Duhet build aktual, Web Vitals/CLS/route budget evidence; payload-i i plotë i workspace dhe mungesa e thumbnails mbeten për optimizim. 2.</s:t>
        </s:is>
      </s:c>
      <s:c r="AI167" s="42" t="inlineStr">
        <s:is>
          <s:t>docs/backlog-code-handoff-2026-09-08.json#S8-B10</s:t>
        </s:is>
      </s:c>
      <s:c r="AJ167" s="42" t="inlineStr">
        <s:is>
          <s:t>Programmer B / review: Programmer A</s:t>
        </s:is>
      </s:c>
    </s:row>
    <s:row r="168" ht="155.1" customHeight="1" s="48">
      <s:c r="A168" s="17" t="inlineStr">
        <s:is>
          <s:t>S8-B11</s:t>
        </s:is>
      </s:c>
      <s:c r="B168" s="18" t="inlineStr">
        <s:is>
          <s:t>S8</s:t>
        </s:is>
      </s:c>
      <s:c r="C168" s="18" t="inlineStr">
        <s:is>
          <s:t>Visual Regression</s:t>
        </s:is>
      </s:c>
      <s:c r="D168" s="12" t="inlineStr">
        <s:is>
          <s:t>Create final visual regression matrix for core surfaces</s:t>
        </s:is>
      </s:c>
      <s:c r="E168" s="13" t="inlineStr">
        <s:is>
          <s:t>Capture light/dark and key responsive widths for landing/auth/onboarding/dashboard/gallery/content/calendar/billing/admin; stabilize deterministic data fixtures.</s:t>
        </s:is>
      </s:c>
      <s:c r="F168" s="13" t="inlineStr">
        <s:is>
          <s:t>Intentional changes reviewed; no clipped/overlapping/unreadable states; reduced-motion snapshots stable.</s:t>
        </s:is>
      </s:c>
      <s:c r="G168" s="18" t="inlineStr">
        <s:is>
          <s:t>S8-B14,S8-B10</s:t>
        </s:is>
      </s:c>
      <s:c r="H168" s="18" t="inlineStr">
        <s:is>
          <s:t>P0</s:t>
        </s:is>
      </s:c>
      <s:c r="I168" s="18" t="inlineStr">
        <s:is>
          <s:t>Programmer B</s:t>
        </s:is>
      </s:c>
      <s:c r="J168" s="18" t="inlineStr">
        <s:is>
          <s:t>Programmer A</s:t>
        </s:is>
      </s:c>
      <s:c r="K168" s="18" t="n">
        <s:v>6</s:v>
      </s:c>
      <s:c r="L168" s="28" t="inlineStr">
        <s:is>
          <s:t>In Progress</s:t>
        </s:is>
      </s:c>
      <s:c r="M168" s="13" t="inlineStr">
        <s:is>
          <s:t>Visual diff evidence</s:t>
        </s:is>
      </s:c>
      <s:c r="N168" s="18" t="inlineStr">
        <s:is>
          <s:t>RG-17</s:t>
        </s:is>
      </s:c>
      <s:c r="O168" s="13" t="inlineStr">
        <s:is>
          <s:t>Synthetic data only.</s:t>
        </s:is>
      </s:c>
      <s:c r="P168" s="18" t="inlineStr">
        <s:is>
          <s:t>visual regression suite</s:t>
        </s:is>
      </s:c>
      <s:c r="Q168" s="14">
        <s:f>INDEX('01_ROADMAP'!$C$5:$C$15,MATCH(B168,'01_ROADMAP'!$A$5:$A$15,0))</s:f>
        <s:v>46384.0</s:v>
      </s:c>
      <s:c r="R168" s="14">
        <s:f>INDEX('01_ROADMAP'!$D$5:$D$15,MATCH(B168,'01_ROADMAP'!$A$5:$A$15,0))</s:f>
        <s:v>46397.0</s:v>
      </s:c>
      <s:c r="S168" s="29" t="inlineStr">
        <s:is>
          <s:t>docs/backlog-deep-audit-2026-09-07.json#S8-B11</s:t>
        </s:is>
      </s:c>
      <s:c r="T168" s="13" t="inlineStr">
        <s:is>
          <s:t>QA/FRONTEND</s:t>
        </s:is>
      </s:c>
      <s:c r="U168" s="13" t="inlineStr">
        <s:is>
          <s:t>Global</s:t>
        </s:is>
      </s:c>
      <s:c r="V168" s="13" t="inlineStr">
        <s:is>
          <s:t>GA</s:t>
        </s:is>
      </s:c>
      <s:c r="W168" s="13" t="inlineStr">
        <s:is>
          <s:t>Playwright screenshots at defined viewports.</s:t>
        </s:is>
      </s:c>
      <s:c r="X168" s="13" t="inlineStr">
        <s:is>
          <s:t>Visual diff evidence</s:t>
        </s:is>
      </s:c>
      <s:c r="Y168" s="54" t="inlineStr">
        <s:is>
          <s:t>Pjesërisht</s:t>
        </s:is>
      </s:c>
      <s:c r="Z168" s="56" t="inlineStr">
        <s:is>
          <s:t>Screenshot on failure dhe captures në testet e vjetra/reja.</s:t>
        </s:is>
      </s:c>
      <s:c r="AA168" s="56" t="inlineStr">
        <s:is>
          <s:t>1. Nuk ka approved baseline pixel-diff matrix light/dark/responsive/reduced-motion për build-in aktual. Screenshot nuk është visual regression assertion.</s:t>
        </s:is>
      </s:c>
      <s:c r="AB168" s="56" t="inlineStr">
        <s:is>
          <s:t>Prova e kërkuar nga backlog-u: Visual diff evidence
Kriteri për t'u verifikuar (nuk deklarohet i kaluar): Intentional changes reviewed; no clipped/overlapping/unreadable states; reduced-motion snapshots stable.
Pranimi kërkon edhe gate-et: RG-17. Asnjë gate nuk është shënuar Passed nga ky audit.</s:t>
        </s:is>
      </s:c>
      <s:c r="AC168" s="56" t="inlineStr">
        <s:is>
          <s:t>U rishikuan kodi/artefaktet dhe u kërkua implementimi i kësaj detyre. Nuk ka provë të ekzekutuar specifike që mbyll të gjithë kriterin; kontrollet globale nuk e zëvendësojnë atë.</s:t>
        </s:is>
      </s:c>
      <s:c r="AD168" s="56" t="inlineStr">
        <s:is>
          <s:t>apps/web/playwright.config.ts
apps/web/tests/e2e/live.spec.ts
docs/VALIDATION.md</s:t>
        </s:is>
      </s:c>
      <s:c r="AE168" s="42" t="inlineStr">
        <s:is>
          <s:t>Pjesërisht — kërkon zhvillim</s:t>
        </s:is>
      </s:c>
      <s:c r="AF168" s="42" t="inlineStr">
        <s:is>
          <s:t>Po</s:t>
        </s:is>
      </s:c>
      <s:c r="AG168" s="42" t="inlineStr">
        <s:is>
          <s:t>Po, pas implementimit</s:t>
        </s:is>
      </s:c>
      <s:c r="AH168" s="42" t="inlineStr">
        <s:is>
          <s:t>Nuk ka approved baseline pixel-diff matrix light/dark/responsive/reduced-motion për build-in aktual. Screenshot nuk është visual regression assertion.</s:t>
        </s:is>
      </s:c>
      <s:c r="AI168" s="42" t="inlineStr">
        <s:is>
          <s:t>docs/backlog-code-handoff-2026-09-08.json#S8-B11</s:t>
        </s:is>
      </s:c>
      <s:c r="AJ168" s="42" t="inlineStr">
        <s:is>
          <s:t>Programmer B / review: Programmer A</s:t>
        </s:is>
      </s:c>
    </s:row>
    <s:row r="169" ht="180" customHeight="1" s="48">
      <s:c r="A169" s="17" t="inlineStr">
        <s:is>
          <s:t>S8-B12</s:t>
        </s:is>
      </s:c>
      <s:c r="B169" s="18" t="inlineStr">
        <s:is>
          <s:t>S8</s:t>
        </s:is>
      </s:c>
      <s:c r="C169" s="18" t="inlineStr">
        <s:is>
          <s:t>Launch UX</s:t>
        </s:is>
      </s:c>
      <s:c r="D169" s="12" t="inlineStr">
        <s:is>
          <s:t>Validate first-run, empty and degraded journeys with fresh accounts</s:t>
        </s:is>
      </s:c>
      <s:c r="E169" s="13" t="inlineStr">
        <s:is>
          <s:t>Run clean-tenant journey with no social account, revoked account, no assets, quota exhausted and provider degraded states; fix dead ends.</s:t>
        </s:is>
      </s:c>
      <s:c r="F169" s="13" t="inlineStr">
        <s:is>
          <s:t>Every state has truthful explanation and next action; no fake success; saved authoring remains available where safe.</s:t>
        </s:is>
      </s:c>
      <s:c r="G169" s="18" t="inlineStr">
        <s:is>
          <s:t>S6-B02,S8-B13,S8-A11</s:t>
        </s:is>
      </s:c>
      <s:c r="H169" s="18" t="inlineStr">
        <s:is>
          <s:t>P0</s:t>
        </s:is>
      </s:c>
      <s:c r="I169" s="18" t="inlineStr">
        <s:is>
          <s:t>Programmer B</s:t>
        </s:is>
      </s:c>
      <s:c r="J169" s="18" t="inlineStr">
        <s:is>
          <s:t>Programmer A</s:t>
        </s:is>
      </s:c>
      <s:c r="K169" s="18" t="n">
        <s:v>7</s:v>
      </s:c>
      <s:c r="L169" s="28" t="inlineStr">
        <s:is>
          <s:t>In Progress</s:t>
        </s:is>
      </s:c>
      <s:c r="M169" s="13" t="inlineStr">
        <s:is>
          <s:t>Fresh-account UAT</s:t>
        </s:is>
      </s:c>
      <s:c r="N169" s="18" t="inlineStr">
        <s:is>
          <s:t>RG-17</s:t>
        </s:is>
      </s:c>
      <s:c r="O169" s="13" t="inlineStr">
        <s:is>
          <s:t>Do not mask security/policy blocker as generic provider error.</s:t>
        </s:is>
      </s:c>
      <s:c r="P169" s="18" t="inlineStr">
        <s:is>
          <s:t>launch UX resilience report</s:t>
        </s:is>
      </s:c>
      <s:c r="Q169" s="14">
        <s:f>INDEX('01_ROADMAP'!$C$5:$C$15,MATCH(B169,'01_ROADMAP'!$A$5:$A$15,0))</s:f>
        <s:v>46384.0</s:v>
      </s:c>
      <s:c r="R169" s="14">
        <s:f>INDEX('01_ROADMAP'!$D$5:$D$15,MATCH(B169,'01_ROADMAP'!$A$5:$A$15,0))</s:f>
        <s:v>46397.0</s:v>
      </s:c>
      <s:c r="S169" s="29" t="inlineStr">
        <s:is>
          <s:t>docs/backlog-partial-progress-2026-09-08.json#S8-B12</s:t>
        </s:is>
      </s:c>
      <s:c r="T169" s="13" t="inlineStr">
        <s:is>
          <s:t>FRONTEND/QA</s:t>
        </s:is>
      </s:c>
      <s:c r="U169" s="13" t="inlineStr">
        <s:is>
          <s:t>Global</s:t>
        </s:is>
      </s:c>
      <s:c r="V169" s="13" t="inlineStr">
        <s:is>
          <s:t>GA</s:t>
        </s:is>
      </s:c>
      <s:c r="W169" s="13" t="inlineStr">
        <s:is>
          <s:t>Empty/Alert/Drawer/Retry patterns.</s:t>
        </s:is>
      </s:c>
      <s:c r="X169" s="13" t="inlineStr">
        <s:is>
          <s:t>Fresh-account UAT</s:t>
        </s:is>
      </s:c>
      <s:c r="Y169" s="54" t="inlineStr">
        <s:is>
          <s:t>Pjesërisht</s:t>
        </s:is>
      </s:c>
      <s:c r="Z169" s="55" t="inlineStr">
        <s:is>
          <s:t>Fresh accounts provojnë signup lokal, empty workspace, login pas logout, pa Meta, approval/calendar, invalid content dhe capability-specific auth degradation.</s:t>
        </s:is>
      </s:c>
      <s:c r="AA169" s="55" t="inlineStr">
        <s:is>
          <s:t>Mbeten revoked account, quota exhausted/provider degraded browser suite dhe UAT me përdorues real.</s:t>
        </s:is>
      </s:c>
      <s:c r="AB169" s="55" t="inlineStr">
        <s:is>
          <s:t>Prova e kërkuar nga backlog-u: Fresh-account UAT
Kriteri për t'u verifikuar (nuk deklarohet i kaluar): Every state has truthful explanation and next action; no fake success; saved authoring remains available where safe.
DA-06: Llogari ekzistuese me trial policy të padisponueshme: login lejohet kur auth punon; signup jep gabim të qartë; recovery ndjek vetëm gatishmërinë e emailit/auth.
Pranimi kërkon edhe gate-et: RG-17. Asnjë gate nuk është shënuar Passed nga ky audit.</s:t>
        </s:is>
      </s:c>
      <s:c r="AC169" s="55" t="inlineStr">
        <s:is>
          <s:t>8/8 E2E + auth degradation unit tests kaluan; UAT nuk u krye.</s:t>
        </s:is>
      </s:c>
      <s:c r="AD169" s="55" t="inlineStr">
        <s:is>
          <s:t>apps/web/tests/e2e/local-registration.spec.ts
apps/web/tests/e2e/optional-meta.spec.ts
apps/web/tests/unit/auth-configuration.test.ts</s:t>
        </s:is>
      </s:c>
      <s:c r="AE169" s="42" t="inlineStr">
        <s:is>
          <s:t>Pjesërisht — kërkon zhvillim</s:t>
        </s:is>
      </s:c>
      <s:c r="AF169" s="42" t="inlineStr">
        <s:is>
          <s:t>Po</s:t>
        </s:is>
      </s:c>
      <s:c r="AG169" s="42" t="inlineStr">
        <s:is>
          <s:t>Po — përzier me punë të jashtme</s:t>
        </s:is>
      </s:c>
      <s:c r="AH169" s="42" t="inlineStr">
        <s:is>
          <s:t>Mbeten revoked account, quota exhausted/provider degraded browser suite dhe UAT me përdorues real.</s:t>
        </s:is>
      </s:c>
      <s:c r="AI169" s="42" t="inlineStr">
        <s:is>
          <s:t>docs/backlog-code-handoff-2026-09-08.json#S8-B12</s:t>
        </s:is>
      </s:c>
      <s:c r="AJ169" s="42" t="inlineStr">
        <s:is>
          <s:t>Programmer B / review: Programmer A</s:t>
        </s:is>
      </s:c>
    </s:row>
    <s:row r="170" ht="155.1" customHeight="1" s="48">
      <s:c r="A170" s="17" t="inlineStr">
        <s:is>
          <s:t>S9-A01</s:t>
        </s:is>
      </s:c>
      <s:c r="B170" s="18" t="inlineStr">
        <s:is>
          <s:t>S9</s:t>
        </s:is>
      </s:c>
      <s:c r="C170" s="18" t="inlineStr">
        <s:is>
          <s:t>Carousel Publishing</s:t>
        </s:is>
      </s:c>
      <s:c r="D170" s="12" t="inlineStr">
        <s:is>
          <s:t>Implement carousel media generation/publish adapter path</s:t>
        </s:is>
      </s:c>
      <s:c r="E170" s="13" t="inlineStr">
        <s:is>
          <s:t>Create child media set validation, order, crop variants, provider container/publish flow and reconciliation through ContentFormat registry.</s:t>
        </s:is>
      </s:c>
      <s:c r="F170" s="13" t="inlineStr">
        <s:is>
          <s:t>Capability-gated; order preserved; partial container failure cleaned/reconciled; duplicate publish prevented.</s:t>
        </s:is>
      </s:c>
      <s:c r="G170" s="18" t="inlineStr">
        <s:is>
          <s:t>S7-A03,S4-A07</s:t>
        </s:is>
      </s:c>
      <s:c r="H170" s="18" t="inlineStr">
        <s:is>
          <s:t>P1</s:t>
        </s:is>
      </s:c>
      <s:c r="I170" s="18" t="inlineStr">
        <s:is>
          <s:t>Programmer A</s:t>
        </s:is>
      </s:c>
      <s:c r="J170" s="18" t="inlineStr">
        <s:is>
          <s:t>Programmer B</s:t>
        </s:is>
      </s:c>
      <s:c r="K170" s="18" t="n">
        <s:v>9</s:v>
      </s:c>
      <s:c r="L170" s="32" t="inlineStr">
        <s:is>
          <s:t>Deferred</s:t>
        </s:is>
      </s:c>
      <s:c r="M170" s="13" t="inlineStr">
        <s:is>
          <s:t>Adapter integration + fault tests</s:t>
        </s:is>
      </s:c>
      <s:c r="N170" s="18" t="inlineStr">
        <s:is>
          <s:t>RG-19</s:t>
        </s:is>
      </s:c>
      <s:c r="O170" s="13" t="inlineStr">
        <s:is>
          <s:t>Temporary media URLs scoped/expired; provider limits validated.</s:t>
        </s:is>
      </s:c>
      <s:c r="P170" s="18" t="inlineStr">
        <s:is>
          <s:t>carousel publisher</s:t>
        </s:is>
      </s:c>
      <s:c r="Q170" s="14">
        <s:f>INDEX('01_ROADMAP'!$C$5:$C$15,MATCH(B170,'01_ROADMAP'!$A$5:$A$15,0))</s:f>
        <s:v>46398.0</s:v>
      </s:c>
      <s:c r="R170" s="14">
        <s:f>INDEX('01_ROADMAP'!$D$5:$D$15,MATCH(B170,'01_ROADMAP'!$A$5:$A$15,0))</s:f>
        <s:v>46411.0</s:v>
      </s:c>
      <s:c r="S170" s="29" t="inlineStr">
        <s:is>
          <s:t>docs/backlog-deep-audit-2026-09-07.json#S9-A01</s:t>
        </s:is>
      </s:c>
      <s:c r="T170" s="13" t="inlineStr">
        <s:is>
          <s:t>META/MEDIA</s:t>
        </s:is>
      </s:c>
      <s:c r="U170" s="13" t="inlineStr">
        <s:is>
          <s:t>Content Studio</s:t>
        </s:is>
      </s:c>
      <s:c r="V170" s="13" t="inlineStr">
        <s:is>
          <s:t>Growth</s:t>
        </s:is>
      </s:c>
      <s:c r="W170" s="13" t="inlineStr">
        <s:is>
          <s:t>Frontend supports reorder and per-card preview.</s:t>
        </s:is>
      </s:c>
      <s:c r="X170" s="13" t="inlineStr">
        <s:is>
          <s:t>Adapter integration + fault tests</s:t>
        </s:is>
      </s:c>
      <s:c r="Y170" s="59" t="inlineStr">
        <s:is>
          <s:t>Shtyrë</s:t>
        </s:is>
      </s:c>
      <s:c r="Z170" s="56" t="inlineStr">
        <s:is>
          <s:t>Carousel/Reel/video/Story janë zgjerime S9 pas-GA; rrjedha aktive lejon një fotografi statike për postim.</s:t>
        </s:is>
      </s:c>
      <s:c r="AA170" s="56" t="inlineStr">
        <s:is>
          <s:t>1. Pas rikthimit të carousel: ordered child-media schema, crop variants, container/publish/reconcile adapter me capability guards dhe cleanup të dështimit të pjesshëm.</s:t>
        </s:is>
      </s:c>
      <s:c r="AB170" s="56" t="inlineStr">
        <s:is>
          <s:t>Prova e kërkuar nga backlog-u: Adapter integration + fault tests
Kriteri për t'u verifikuar (nuk deklarohet i kaluar): Capability-gated; order preserved; partial container failure cleaned/reconciled; duplicate publish prevented.
Pranimi kërkon edhe gate-et: RG-19. Asnjë gate nuk është shënuar Passed nga ky audit.</s:t>
        </s:is>
      </s:c>
      <s:c r="AC170" s="56" t="inlineStr">
        <s:is>
          <s:t>Shtyrë sipas scope-it; nuk është realizuar. Kriteret dhe hapat e këtij rreshti vlejnë kur moduli të rikthehet në scope.</s:t>
        </s:is>
      </s:c>
      <s:c r="AD170" s="56" t="inlineStr">
        <s:is>
          <s:t>Nuk u gjet implementim specifik; shiko kriterin dhe hapat në AA/AB.</s:t>
        </s:is>
      </s:c>
      <s:c r="AE170" s="42" t="inlineStr">
        <s:is>
          <s:t>Shtyrë nga scope-i aktual</s:t>
        </s:is>
      </s:c>
      <s:c r="AF170" s="42" t="inlineStr">
        <s:is>
          <s:t>Jo në scope-in posts-only</s:t>
        </s:is>
      </s:c>
      <s:c r="AG170" s="42" t="inlineStr">
        <s:is>
          <s:t>Jo tani</s:t>
        </s:is>
      </s:c>
      <s:c r="AH170" s="42" t="inlineStr">
        <s:is>
          <s:t>Pas rikthimit të carousel: ordered child-media schema, crop variants, container/publish/reconcile adapter me capability guards dhe cleanup të dështimit të pjesshëm.</s:t>
        </s:is>
      </s:c>
      <s:c r="AI170" s="42" t="inlineStr">
        <s:is>
          <s:t>docs/backlog-code-handoff-2026-09-08.json#S9-A01</s:t>
        </s:is>
      </s:c>
      <s:c r="AJ170" s="42" t="inlineStr">
        <s:is>
          <s:t>Programmer A / review: Programmer B</s:t>
        </s:is>
      </s:c>
    </s:row>
    <s:row r="171" ht="155.1" customHeight="1" s="48">
      <s:c r="A171" s="17" t="inlineStr">
        <s:is>
          <s:t>S9-B01</s:t>
        </s:is>
      </s:c>
      <s:c r="B171" s="18" t="inlineStr">
        <s:is>
          <s:t>S9</s:t>
        </s:is>
      </s:c>
      <s:c r="C171" s="18" t="inlineStr">
        <s:is>
          <s:t>Carousel UX</s:t>
        </s:is>
      </s:c>
      <s:c r="D171" s="12" t="inlineStr">
        <s:is>
          <s:t>Build carousel composer and preview</s:t>
        </s:is>
      </s:c>
      <s:c r="E171" s="13" t="inlineStr">
        <s:is>
          <s:t>Create card reorder, per-card asset/crop/text, shared caption, mobile preview and generation-from-template flow.</s:t>
        </s:is>
      </s:c>
      <s:c r="F171" s="13" t="inlineStr">
        <s:is>
          <s:t>Keyboard/touch reorder usable; max/min card constraints driven by capability; autosave works.</s:t>
        </s:is>
      </s:c>
      <s:c r="G171" s="18" t="inlineStr">
        <s:is>
          <s:t>S9-A01,S7-B09</s:t>
        </s:is>
      </s:c>
      <s:c r="H171" s="18" t="inlineStr">
        <s:is>
          <s:t>P1</s:t>
        </s:is>
      </s:c>
      <s:c r="I171" s="18" t="inlineStr">
        <s:is>
          <s:t>Programmer B</s:t>
        </s:is>
      </s:c>
      <s:c r="J171" s="18" t="inlineStr">
        <s:is>
          <s:t>Programmer A</s:t>
        </s:is>
      </s:c>
      <s:c r="K171" s="18" t="n">
        <s:v>9</s:v>
      </s:c>
      <s:c r="L171" s="32" t="inlineStr">
        <s:is>
          <s:t>Deferred</s:t>
        </s:is>
      </s:c>
      <s:c r="M171" s="13" t="inlineStr">
        <s:is>
          <s:t>E2E + a11y</s:t>
        </s:is>
      </s:c>
      <s:c r="N171" s="18" t="inlineStr">
        <s:is>
          <s:t>RG-19</s:t>
        </s:is>
      </s:c>
      <s:c r="O171" s="13" t="inlineStr">
        <s:is>
          <s:t>No unsupported format shown as available.</s:t>
        </s:is>
      </s:c>
      <s:c r="P171" s="18" t="inlineStr">
        <s:is>
          <s:t>carousel composer</s:t>
        </s:is>
      </s:c>
      <s:c r="Q171" s="14">
        <s:f>INDEX('01_ROADMAP'!$C$5:$C$15,MATCH(B171,'01_ROADMAP'!$A$5:$A$15,0))</s:f>
        <s:v>46398.0</s:v>
      </s:c>
      <s:c r="R171" s="14">
        <s:f>INDEX('01_ROADMAP'!$D$5:$D$15,MATCH(B171,'01_ROADMAP'!$A$5:$A$15,0))</s:f>
        <s:v>46411.0</s:v>
      </s:c>
      <s:c r="S171" s="29" t="inlineStr">
        <s:is>
          <s:t>docs/backlog-deep-audit-2026-09-07.json#S9-B01</s:t>
        </s:is>
      </s:c>
      <s:c r="T171" s="13" t="inlineStr">
        <s:is>
          <s:t>FRONTEND</s:t>
        </s:is>
      </s:c>
      <s:c r="U171" s="13" t="inlineStr">
        <s:is>
          <s:t>Content Studio</s:t>
        </s:is>
      </s:c>
      <s:c r="V171" s="13" t="inlineStr">
        <s:is>
          <s:t>Growth</s:t>
        </s:is>
      </s:c>
      <s:c r="W171" s="13" t="inlineStr">
        <s:is>
          <s:t>Reorder + Carousel + Drawer.</s:t>
        </s:is>
      </s:c>
      <s:c r="X171" s="13" t="inlineStr">
        <s:is>
          <s:t>E2E + a11y</s:t>
        </s:is>
      </s:c>
      <s:c r="Y171" s="59" t="inlineStr">
        <s:is>
          <s:t>Shtyrë</s:t>
        </s:is>
      </s:c>
      <s:c r="Z171" s="55" t="inlineStr">
        <s:is>
          <s:t>Carousel/Reel/video/Story janë zgjerime S9 pas-GA; rrjedha aktive lejon një fotografi statike për postim.</s:t>
        </s:is>
      </s:c>
      <s:c r="AA171" s="55" t="inlineStr">
        <s:is>
          <s:t>1. Pas backend-it carousel: composer me reorder keyboard/touch, asset/crop/text për kartë, caption të përbashkët, preview mobile dhe autosave; min/max nga capability registry.</s:t>
        </s:is>
      </s:c>
      <s:c r="AB171" s="55" t="inlineStr">
        <s:is>
          <s:t>Prova e kërkuar nga backlog-u: E2E + a11y
Kriteri për t'u verifikuar (nuk deklarohet i kaluar): Keyboard/touch reorder usable; max/min card constraints driven by capability; autosave works.
Pranimi kërkon edhe gate-et: RG-19. Asnjë gate nuk është shënuar Passed nga ky audit.</s:t>
        </s:is>
      </s:c>
      <s:c r="AC171" s="55" t="inlineStr">
        <s:is>
          <s:t>Shtyrë sipas scope-it; nuk është realizuar. Kriteret dhe hapat e këtij rreshti vlejnë kur moduli të rikthehet në scope.</s:t>
        </s:is>
      </s:c>
      <s:c r="AD171" s="55" t="inlineStr">
        <s:is>
          <s:t>Nuk u gjet implementim specifik; shiko kriterin dhe hapat në AA/AB.</s:t>
        </s:is>
      </s:c>
      <s:c r="AE171" s="42" t="inlineStr">
        <s:is>
          <s:t>Shtyrë nga scope-i aktual</s:t>
        </s:is>
      </s:c>
      <s:c r="AF171" s="42" t="inlineStr">
        <s:is>
          <s:t>Jo në scope-in posts-only</s:t>
        </s:is>
      </s:c>
      <s:c r="AG171" s="42" t="inlineStr">
        <s:is>
          <s:t>Jo tani</s:t>
        </s:is>
      </s:c>
      <s:c r="AH171" s="42" t="inlineStr">
        <s:is>
          <s:t>Pas backend-it carousel: composer me reorder keyboard/touch, asset/crop/text për kartë, caption të përbashkët, preview mobile dhe autosave; min/max nga capability registry.</s:t>
        </s:is>
      </s:c>
      <s:c r="AI171" s="42" t="inlineStr">
        <s:is>
          <s:t>docs/backlog-code-handoff-2026-09-08.json#S9-B01</s:t>
        </s:is>
      </s:c>
      <s:c r="AJ171" s="42" t="inlineStr">
        <s:is>
          <s:t>Programmer B / review: Programmer A</s:t>
        </s:is>
      </s:c>
    </s:row>
    <s:row r="172" ht="155.1" customHeight="1" s="48">
      <s:c r="A172" s="17" t="inlineStr">
        <s:is>
          <s:t>S9-A02</s:t>
        </s:is>
      </s:c>
      <s:c r="B172" s="18" t="inlineStr">
        <s:is>
          <s:t>S9</s:t>
        </s:is>
      </s:c>
      <s:c r="C172" s="18" t="inlineStr">
        <s:is>
          <s:t>Reels/Video</s:t>
        </s:is>
      </s:c>
      <s:c r="D172" s="12" t="inlineStr">
        <s:is>
          <s:t>Implement short-video upload/transcode/publish capability</s:t>
        </s:is>
      </s:c>
      <s:c r="E172" s="13" t="inlineStr">
        <s:is>
          <s:t>Add validated video metadata, background probe/transcode where needed, poster/thumbnail, provider capability and publish/reconciliation path; AI video generation remains separate adapter decision.</s:t>
        </s:is>
      </s:c>
      <s:c r="F172" s="13" t="inlineStr">
        <s:is>
          <s:t>Unsupported codec/size rejected with actionable reason; long processing resumable; publish idempotent.</s:t>
        </s:is>
      </s:c>
      <s:c r="G172" s="18" t="inlineStr">
        <s:is>
          <s:t>S7-A03,S0-A08</s:t>
        </s:is>
      </s:c>
      <s:c r="H172" s="18" t="inlineStr">
        <s:is>
          <s:t>P1</s:t>
        </s:is>
      </s:c>
      <s:c r="I172" s="18" t="inlineStr">
        <s:is>
          <s:t>Programmer A</s:t>
        </s:is>
      </s:c>
      <s:c r="J172" s="18" t="inlineStr">
        <s:is>
          <s:t>Programmer B</s:t>
        </s:is>
      </s:c>
      <s:c r="K172" s="18" t="n">
        <s:v>11</s:v>
      </s:c>
      <s:c r="L172" s="32" t="inlineStr">
        <s:is>
          <s:t>Deferred</s:t>
        </s:is>
      </s:c>
      <s:c r="M172" s="13" t="inlineStr">
        <s:is>
          <s:t>Media fixtures + provider tests</s:t>
        </s:is>
      </s:c>
      <s:c r="N172" s="18" t="inlineStr">
        <s:is>
          <s:t>RG-19</s:t>
        </s:is>
      </s:c>
      <s:c r="O172" s="13" t="inlineStr">
        <s:is>
          <s:t>Virus/file validation; signed access; retention.</s:t>
        </s:is>
      </s:c>
      <s:c r="P172" s="18" t="inlineStr">
        <s:is>
          <s:t>video/reel pipeline</s:t>
        </s:is>
      </s:c>
      <s:c r="Q172" s="14">
        <s:f>INDEX('01_ROADMAP'!$C$5:$C$15,MATCH(B172,'01_ROADMAP'!$A$5:$A$15,0))</s:f>
        <s:v>46398.0</s:v>
      </s:c>
      <s:c r="R172" s="14">
        <s:f>INDEX('01_ROADMAP'!$D$5:$D$15,MATCH(B172,'01_ROADMAP'!$A$5:$A$15,0))</s:f>
        <s:v>46411.0</s:v>
      </s:c>
      <s:c r="S172" s="29" t="inlineStr">
        <s:is>
          <s:t>docs/backlog-deep-audit-2026-09-07.json#S9-A02</s:t>
        </s:is>
      </s:c>
      <s:c r="T172" s="13" t="inlineStr">
        <s:is>
          <s:t>META/MEDIA</s:t>
        </s:is>
      </s:c>
      <s:c r="U172" s="13" t="inlineStr">
        <s:is>
          <s:t>Content Studio</s:t>
        </s:is>
      </s:c>
      <s:c r="V172" s="13" t="inlineStr">
        <s:is>
          <s:t>Growth</s:t>
        </s:is>
      </s:c>
      <s:c r="W172" s="13" t="inlineStr">
        <s:is>
          <s:t>Upload progress and processing state exposed.</s:t>
        </s:is>
      </s:c>
      <s:c r="X172" s="13" t="inlineStr">
        <s:is>
          <s:t>Media fixtures + provider tests</s:t>
        </s:is>
      </s:c>
      <s:c r="Y172" s="59" t="inlineStr">
        <s:is>
          <s:t>Shtyrë</s:t>
        </s:is>
      </s:c>
      <s:c r="Z172" s="56" t="inlineStr">
        <s:is>
          <s:t>Carousel/Reel/video/Story janë zgjerime S9 pas-GA; rrjedha aktive lejon një fotografi statike për postim.</s:t>
        </s:is>
      </s:c>
      <s:c r="AA172" s="56" t="inlineStr">
        <s:is>
          <s:t>1. Pas rikthimit të video: probe/metadata/codec guards, transcode worker i rikuperueshëm, poster/thumbnail dhe provider publish/reconcile idempotent. AI video është vendim tjetër adapter-i.</s:t>
        </s:is>
      </s:c>
      <s:c r="AB172" s="56" t="inlineStr">
        <s:is>
          <s:t>Prova e kërkuar nga backlog-u: Media fixtures + provider tests
Kriteri për t'u verifikuar (nuk deklarohet i kaluar): Unsupported codec/size rejected with actionable reason; long processing resumable; publish idempotent.
Pranimi kërkon edhe gate-et: RG-19. Asnjë gate nuk është shënuar Passed nga ky audit.</s:t>
        </s:is>
      </s:c>
      <s:c r="AC172" s="56" t="inlineStr">
        <s:is>
          <s:t>Shtyrë sipas scope-it; nuk është realizuar. Kriteret dhe hapat e këtij rreshti vlejnë kur moduli të rikthehet në scope.</s:t>
        </s:is>
      </s:c>
      <s:c r="AD172" s="56" t="inlineStr">
        <s:is>
          <s:t>Nuk u gjet implementim specifik; shiko kriterin dhe hapat në AA/AB.</s:t>
        </s:is>
      </s:c>
      <s:c r="AE172" s="42" t="inlineStr">
        <s:is>
          <s:t>Shtyrë nga scope-i aktual</s:t>
        </s:is>
      </s:c>
      <s:c r="AF172" s="42" t="inlineStr">
        <s:is>
          <s:t>Jo në scope-in posts-only</s:t>
        </s:is>
      </s:c>
      <s:c r="AG172" s="42" t="inlineStr">
        <s:is>
          <s:t>Jo tani</s:t>
        </s:is>
      </s:c>
      <s:c r="AH172" s="42" t="inlineStr">
        <s:is>
          <s:t>Pas rikthimit të video: probe/metadata/codec guards, transcode worker i rikuperueshëm, poster/thumbnail dhe provider publish/reconcile idempotent. AI video është vendim tjetër adapter-i.</s:t>
        </s:is>
      </s:c>
      <s:c r="AI172" s="42" t="inlineStr">
        <s:is>
          <s:t>docs/backlog-code-handoff-2026-09-08.json#S9-A02</s:t>
        </s:is>
      </s:c>
      <s:c r="AJ172" s="42" t="inlineStr">
        <s:is>
          <s:t>Programmer A / review: Programmer B</s:t>
        </s:is>
      </s:c>
    </s:row>
    <s:row r="173" ht="155.1" customHeight="1" s="48">
      <s:c r="A173" s="17" t="inlineStr">
        <s:is>
          <s:t>S9-B02</s:t>
        </s:is>
      </s:c>
      <s:c r="B173" s="18" t="inlineStr">
        <s:is>
          <s:t>S9</s:t>
        </s:is>
      </s:c>
      <s:c r="C173" s="18" t="inlineStr">
        <s:is>
          <s:t>Reels/Video UX</s:t>
        </s:is>
      </s:c>
      <s:c r="D173" s="12" t="inlineStr">
        <s:is>
          <s:t>Build Reel/video upload, trim metadata and preview workflow</s:t>
        </s:is>
      </s:c>
      <s:c r="E173" s="13" t="inlineStr">
        <s:is>
          <s:t>Add file upload/progress, processing status, cover selection, caption/CTA, safe-zone preview and schedule flow; advanced editing deliberately limited.</s:t>
        </s:is>
      </s:c>
      <s:c r="F173" s="13" t="inlineStr">
        <s:is>
          <s:t>User can recover from processing failure; mobile upload usable; publish capability/limits visible.</s:t>
        </s:is>
      </s:c>
      <s:c r="G173" s="18" t="inlineStr">
        <s:is>
          <s:t>S9-A02</s:t>
        </s:is>
      </s:c>
      <s:c r="H173" s="18" t="inlineStr">
        <s:is>
          <s:t>P1</s:t>
        </s:is>
      </s:c>
      <s:c r="I173" s="18" t="inlineStr">
        <s:is>
          <s:t>Programmer B</s:t>
        </s:is>
      </s:c>
      <s:c r="J173" s="18" t="inlineStr">
        <s:is>
          <s:t>Programmer A</s:t>
        </s:is>
      </s:c>
      <s:c r="K173" s="18" t="n">
        <s:v>10</s:v>
      </s:c>
      <s:c r="L173" s="32" t="inlineStr">
        <s:is>
          <s:t>Deferred</s:t>
        </s:is>
      </s:c>
      <s:c r="M173" s="13" t="inlineStr">
        <s:is>
          <s:t>E2E + mobile</s:t>
        </s:is>
      </s:c>
      <s:c r="N173" s="18" t="inlineStr">
        <s:is>
          <s:t>RG-19</s:t>
        </s:is>
      </s:c>
      <s:c r="O173" s="13" t="inlineStr">
        <s:is>
          <s:t>No client trusts file metadata.</s:t>
        </s:is>
      </s:c>
      <s:c r="P173" s="18" t="inlineStr">
        <s:is>
          <s:t>reel/video UX</s:t>
        </s:is>
      </s:c>
      <s:c r="Q173" s="14">
        <s:f>INDEX('01_ROADMAP'!$C$5:$C$15,MATCH(B173,'01_ROADMAP'!$A$5:$A$15,0))</s:f>
        <s:v>46398.0</s:v>
      </s:c>
      <s:c r="R173" s="14">
        <s:f>INDEX('01_ROADMAP'!$D$5:$D$15,MATCH(B173,'01_ROADMAP'!$A$5:$A$15,0))</s:f>
        <s:v>46411.0</s:v>
      </s:c>
      <s:c r="S173" s="29" t="inlineStr">
        <s:is>
          <s:t>docs/backlog-deep-audit-2026-09-07.json#S9-B02</s:t>
        </s:is>
      </s:c>
      <s:c r="T173" s="13" t="inlineStr">
        <s:is>
          <s:t>FRONTEND</s:t>
        </s:is>
      </s:c>
      <s:c r="U173" s="13" t="inlineStr">
        <s:is>
          <s:t>Content Studio</s:t>
        </s:is>
      </s:c>
      <s:c r="V173" s="13" t="inlineStr">
        <s:is>
          <s:t>Growth</s:t>
        </s:is>
      </s:c>
      <s:c r="W173" s="13" t="inlineStr">
        <s:is>
          <s:t>FileUpload/Progress/Drawer/preview.</s:t>
        </s:is>
      </s:c>
      <s:c r="X173" s="13" t="inlineStr">
        <s:is>
          <s:t>E2E + mobile</s:t>
        </s:is>
      </s:c>
      <s:c r="Y173" s="59" t="inlineStr">
        <s:is>
          <s:t>Shtyrë</s:t>
        </s:is>
      </s:c>
      <s:c r="Z173" s="55" t="inlineStr">
        <s:is>
          <s:t>Carousel/Reel/video/Story janë zgjerime S9 pas-GA; rrjedha aktive lejon një fotografi statike për postim.</s:t>
        </s:is>
      </s:c>
      <s:c r="AA173" s="55" t="inlineStr">
        <s:is>
          <s:t>1. Pas video capability: upload/progress/processing recovery, cover/caption/CTA dhe safe-zone preview me schedule. Provo file të papranueshëm, telefon dhe processing timeout.</s:t>
        </s:is>
      </s:c>
      <s:c r="AB173" s="55" t="inlineStr">
        <s:is>
          <s:t>Prova e kërkuar nga backlog-u: E2E + mobile
Kriteri për t'u verifikuar (nuk deklarohet i kaluar): User can recover from processing failure; mobile upload usable; publish capability/limits visible.
Pranimi kërkon edhe gate-et: RG-19. Asnjë gate nuk është shënuar Passed nga ky audit.</s:t>
        </s:is>
      </s:c>
      <s:c r="AC173" s="55" t="inlineStr">
        <s:is>
          <s:t>Shtyrë sipas scope-it; nuk është realizuar. Kriteret dhe hapat e këtij rreshti vlejnë kur moduli të rikthehet në scope.</s:t>
        </s:is>
      </s:c>
      <s:c r="AD173" s="55" t="inlineStr">
        <s:is>
          <s:t>Nuk u gjet implementim specifik; shiko kriterin dhe hapat në AA/AB.</s:t>
        </s:is>
      </s:c>
      <s:c r="AE173" s="42" t="inlineStr">
        <s:is>
          <s:t>Shtyrë nga scope-i aktual</s:t>
        </s:is>
      </s:c>
      <s:c r="AF173" s="42" t="inlineStr">
        <s:is>
          <s:t>Jo në scope-in posts-only</s:t>
        </s:is>
      </s:c>
      <s:c r="AG173" s="42" t="inlineStr">
        <s:is>
          <s:t>Jo tani</s:t>
        </s:is>
      </s:c>
      <s:c r="AH173" s="42" t="inlineStr">
        <s:is>
          <s:t>Pas video capability: upload/progress/processing recovery, cover/caption/CTA dhe safe-zone preview me schedule. Provo file të papranueshëm, telefon dhe processing timeout.</s:t>
        </s:is>
      </s:c>
      <s:c r="AI173" s="42" t="inlineStr">
        <s:is>
          <s:t>docs/backlog-code-handoff-2026-09-08.json#S9-B02</s:t>
        </s:is>
      </s:c>
      <s:c r="AJ173" s="42" t="inlineStr">
        <s:is>
          <s:t>Programmer B / review: Programmer A</s:t>
        </s:is>
      </s:c>
    </s:row>
    <s:row r="174" ht="155.1" customHeight="1" s="48">
      <s:c r="A174" s="17" t="inlineStr">
        <s:is>
          <s:t>S9-A03</s:t>
        </s:is>
      </s:c>
      <s:c r="B174" s="18" t="inlineStr">
        <s:is>
          <s:t>S9</s:t>
        </s:is>
      </s:c>
      <s:c r="C174" s="18" t="inlineStr">
        <s:is>
          <s:t>Story Publishing</s:t>
        </s:is>
      </s:c>
      <s:c r="D174" s="12" t="inlineStr">
        <s:is>
          <s:t>Implement story capability adapter when provider supports account</s:t>
        </s:is>
      </s:c>
      <s:c r="E174" s="13" t="inlineStr">
        <s:is>
          <s:t>Add story format requirements and provider implementation behind capability flag; reuse asset/version/publish ledger semantics.</s:t>
        </s:is>
      </s:c>
      <s:c r="F174" s="13" t="inlineStr">
        <s:is>
          <s:t>If provider/account does not support, UI/API returns explicit unsupported capability; when supported, idempotent publish tests pass.</s:t>
        </s:is>
      </s:c>
      <s:c r="G174" s="18" t="inlineStr">
        <s:is>
          <s:t>S7-A03</s:t>
        </s:is>
      </s:c>
      <s:c r="H174" s="18" t="inlineStr">
        <s:is>
          <s:t>P2</s:t>
        </s:is>
      </s:c>
      <s:c r="I174" s="18" t="inlineStr">
        <s:is>
          <s:t>Programmer A</s:t>
        </s:is>
      </s:c>
      <s:c r="J174" s="18" t="inlineStr">
        <s:is>
          <s:t>Programmer B</s:t>
        </s:is>
      </s:c>
      <s:c r="K174" s="18" t="n">
        <s:v>7</s:v>
      </s:c>
      <s:c r="L174" s="32" t="inlineStr">
        <s:is>
          <s:t>Deferred</s:t>
        </s:is>
      </s:c>
      <s:c r="M174" s="13" t="inlineStr">
        <s:is>
          <s:t>Provider contract tests</s:t>
        </s:is>
      </s:c>
      <s:c r="N174" s="18" t="inlineStr">
        <s:is>
          <s:t>RG-19</s:t>
        </s:is>
      </s:c>
      <s:c r="O174" s="13" t="inlineStr">
        <s:is>
          <s:t>Revalidate provider support/version at implementation.</s:t>
        </s:is>
      </s:c>
      <s:c r="P174" s="18" t="inlineStr">
        <s:is>
          <s:t>story adapter</s:t>
        </s:is>
      </s:c>
      <s:c r="Q174" s="14">
        <s:f>INDEX('01_ROADMAP'!$C$5:$C$15,MATCH(B174,'01_ROADMAP'!$A$5:$A$15,0))</s:f>
        <s:v>46398.0</s:v>
      </s:c>
      <s:c r="R174" s="14">
        <s:f>INDEX('01_ROADMAP'!$D$5:$D$15,MATCH(B174,'01_ROADMAP'!$A$5:$A$15,0))</s:f>
        <s:v>46411.0</s:v>
      </s:c>
      <s:c r="S174" s="29" t="inlineStr">
        <s:is>
          <s:t>docs/backlog-deep-audit-2026-09-07.json#S9-A03</s:t>
        </s:is>
      </s:c>
      <s:c r="T174" s="13" t="inlineStr">
        <s:is>
          <s:t>META</s:t>
        </s:is>
      </s:c>
      <s:c r="U174" s="13" t="inlineStr">
        <s:is>
          <s:t>Content Studio</s:t>
        </s:is>
      </s:c>
      <s:c r="V174" s="13" t="inlineStr">
        <s:is>
          <s:t>Growth</s:t>
        </s:is>
      </s:c>
      <s:c r="W174" s="13" t="inlineStr">
        <s:is>
          <s:t>Capability DTO controls UI.</s:t>
        </s:is>
      </s:c>
      <s:c r="X174" s="13" t="inlineStr">
        <s:is>
          <s:t>Provider contract tests</s:t>
        </s:is>
      </s:c>
      <s:c r="Y174" s="59" t="inlineStr">
        <s:is>
          <s:t>Shtyrë</s:t>
        </s:is>
      </s:c>
      <s:c r="Z174" s="56" t="inlineStr">
        <s:is>
          <s:t>Carousel/Reel/video/Story janë zgjerime S9 pas-GA; rrjedha aktive lejon një fotografi statike për postim.</s:t>
        </s:is>
      </s:c>
      <s:c r="AA174" s="56" t="inlineStr">
        <s:is>
          <s:t>1. Pas mbështetjes së konfirmuar nga provider/account: story requirements dhe adapter që ripërdor version/asset/attempt ledger; unsupported kthen kod shpjegues dhe nuk publikon.</s:t>
        </s:is>
      </s:c>
      <s:c r="AB174" s="56" t="inlineStr">
        <s:is>
          <s:t>Prova e kërkuar nga backlog-u: Provider contract tests
Kriteri për t'u verifikuar (nuk deklarohet i kaluar): If provider/account does not support, UI/API returns explicit unsupported capability; when supported, idempotent publish tests pass.
Pranimi kërkon edhe gate-et: RG-19. Asnjë gate nuk është shënuar Passed nga ky audit.</s:t>
        </s:is>
      </s:c>
      <s:c r="AC174" s="56" t="inlineStr">
        <s:is>
          <s:t>Shtyrë sipas scope-it; nuk është realizuar. Kriteret dhe hapat e këtij rreshti vlejnë kur moduli të rikthehet në scope.</s:t>
        </s:is>
      </s:c>
      <s:c r="AD174" s="56" t="inlineStr">
        <s:is>
          <s:t>Nuk u gjet implementim specifik; shiko kriterin dhe hapat në AA/AB.</s:t>
        </s:is>
      </s:c>
      <s:c r="AE174" s="42" t="inlineStr">
        <s:is>
          <s:t>Shtyrë nga scope-i aktual</s:t>
        </s:is>
      </s:c>
      <s:c r="AF174" s="42" t="inlineStr">
        <s:is>
          <s:t>Jo në scope-in posts-only</s:t>
        </s:is>
      </s:c>
      <s:c r="AG174" s="42" t="inlineStr">
        <s:is>
          <s:t>Jo tani</s:t>
        </s:is>
      </s:c>
      <s:c r="AH174" s="42" t="inlineStr">
        <s:is>
          <s:t>Pas mbështetjes së konfirmuar nga provider/account: story requirements dhe adapter që ripërdor version/asset/attempt ledger; unsupported kthen kod shpjegues dhe nuk publikon.</s:t>
        </s:is>
      </s:c>
      <s:c r="AI174" s="42" t="inlineStr">
        <s:is>
          <s:t>docs/backlog-code-handoff-2026-09-08.json#S9-A03</s:t>
        </s:is>
      </s:c>
      <s:c r="AJ174" s="42" t="inlineStr">
        <s:is>
          <s:t>Programmer A / review: Programmer B</s:t>
        </s:is>
      </s:c>
    </s:row>
    <s:row r="175" ht="155.1" customHeight="1" s="48">
      <s:c r="A175" s="17" t="inlineStr">
        <s:is>
          <s:t>S9-B03</s:t>
        </s:is>
      </s:c>
      <s:c r="B175" s="18" t="inlineStr">
        <s:is>
          <s:t>S9</s:t>
        </s:is>
      </s:c>
      <s:c r="C175" s="18" t="inlineStr">
        <s:is>
          <s:t>Story UX</s:t>
        </s:is>
      </s:c>
      <s:c r="D175" s="12" t="inlineStr">
        <s:is>
          <s:t>Build Story preview/schedule surface</s:t>
        </s:is>
      </s:c>
      <s:c r="E175" s="13" t="inlineStr">
        <s:is>
          <s:t>Provide portrait safe-zone preview, asset selection and schedule/publish flow only when account capability says supported.</s:t>
        </s:is>
      </s:c>
      <s:c r="F175" s="13" t="inlineStr">
        <s:is>
          <s:t>No hidden/disabled-only mystery state; unsupported explains why; portrait preview responsive.</s:t>
        </s:is>
      </s:c>
      <s:c r="G175" s="18" t="inlineStr">
        <s:is>
          <s:t>S9-A03</s:t>
        </s:is>
      </s:c>
      <s:c r="H175" s="18" t="inlineStr">
        <s:is>
          <s:t>P2</s:t>
        </s:is>
      </s:c>
      <s:c r="I175" s="18" t="inlineStr">
        <s:is>
          <s:t>Programmer B</s:t>
        </s:is>
      </s:c>
      <s:c r="J175" s="18" t="inlineStr">
        <s:is>
          <s:t>Programmer A</s:t>
        </s:is>
      </s:c>
      <s:c r="K175" s="18" t="n">
        <s:v>7</s:v>
      </s:c>
      <s:c r="L175" s="32" t="inlineStr">
        <s:is>
          <s:t>Deferred</s:t>
        </s:is>
      </s:c>
      <s:c r="M175" s="13" t="inlineStr">
        <s:is>
          <s:t>E2E capability fixtures</s:t>
        </s:is>
      </s:c>
      <s:c r="N175" s="18" t="inlineStr">
        <s:is>
          <s:t>RG-19</s:t>
        </s:is>
      </s:c>
      <s:c r="O175" s="13" t="inlineStr">
        <s:is>
          <s:t>No provider assumptions in frontend.</s:t>
        </s:is>
      </s:c>
      <s:c r="P175" s="18" t="inlineStr">
        <s:is>
          <s:t>story UX</s:t>
        </s:is>
      </s:c>
      <s:c r="Q175" s="14">
        <s:f>INDEX('01_ROADMAP'!$C$5:$C$15,MATCH(B175,'01_ROADMAP'!$A$5:$A$15,0))</s:f>
        <s:v>46398.0</s:v>
      </s:c>
      <s:c r="R175" s="14">
        <s:f>INDEX('01_ROADMAP'!$D$5:$D$15,MATCH(B175,'01_ROADMAP'!$A$5:$A$15,0))</s:f>
        <s:v>46411.0</s:v>
      </s:c>
      <s:c r="S175" s="29" t="inlineStr">
        <s:is>
          <s:t>docs/backlog-deep-audit-2026-09-07.json#S9-B03</s:t>
        </s:is>
      </s:c>
      <s:c r="T175" s="13" t="inlineStr">
        <s:is>
          <s:t>FRONTEND</s:t>
        </s:is>
      </s:c>
      <s:c r="U175" s="13" t="inlineStr">
        <s:is>
          <s:t>Content Studio</s:t>
        </s:is>
      </s:c>
      <s:c r="V175" s="13" t="inlineStr">
        <s:is>
          <s:t>Growth</s:t>
        </s:is>
      </s:c>
      <s:c r="W175" s="13" t="inlineStr">
        <s:is>
          <s:t>Preview/Alert/Drawer.</s:t>
        </s:is>
      </s:c>
      <s:c r="X175" s="13" t="inlineStr">
        <s:is>
          <s:t>E2E capability fixtures</s:t>
        </s:is>
      </s:c>
      <s:c r="Y175" s="59" t="inlineStr">
        <s:is>
          <s:t>Shtyrë</s:t>
        </s:is>
      </s:c>
      <s:c r="Z175" s="55" t="inlineStr">
        <s:is>
          <s:t>Carousel/Reel/video/Story janë zgjerime S9 pas-GA; rrjedha aktive lejon një fotografi statike për postim.</s:t>
        </s:is>
      </s:c>
      <s:c r="AA175" s="55" t="inlineStr">
        <s:is>
          <s:t>1. Pas story API: preview portrait me safe zones, asset selection dhe schedule/publish të kushtëzuara nga capability; shpjego unsupported dhe ruaj responsive.</s:t>
        </s:is>
      </s:c>
      <s:c r="AB175" s="55" t="inlineStr">
        <s:is>
          <s:t>Prova e kërkuar nga backlog-u: E2E capability fixtures
Kriteri për t'u verifikuar (nuk deklarohet i kaluar): No hidden/disabled-only mystery state; unsupported explains why; portrait preview responsive.
Pranimi kërkon edhe gate-et: RG-19. Asnjë gate nuk është shënuar Passed nga ky audit.</s:t>
        </s:is>
      </s:c>
      <s:c r="AC175" s="55" t="inlineStr">
        <s:is>
          <s:t>Shtyrë sipas scope-it; nuk është realizuar. Kriteret dhe hapat e këtij rreshti vlejnë kur moduli të rikthehet në scope.</s:t>
        </s:is>
      </s:c>
      <s:c r="AD175" s="55" t="inlineStr">
        <s:is>
          <s:t>Nuk u gjet implementim specifik; shiko kriterin dhe hapat në AA/AB.</s:t>
        </s:is>
      </s:c>
      <s:c r="AE175" s="42" t="inlineStr">
        <s:is>
          <s:t>Shtyrë nga scope-i aktual</s:t>
        </s:is>
      </s:c>
      <s:c r="AF175" s="42" t="inlineStr">
        <s:is>
          <s:t>Jo në scope-in posts-only</s:t>
        </s:is>
      </s:c>
      <s:c r="AG175" s="42" t="inlineStr">
        <s:is>
          <s:t>Jo tani</s:t>
        </s:is>
      </s:c>
      <s:c r="AH175" s="42" t="inlineStr">
        <s:is>
          <s:t>Pas story API: preview portrait me safe zones, asset selection dhe schedule/publish të kushtëzuara nga capability; shpjego unsupported dhe ruaj responsive.</s:t>
        </s:is>
      </s:c>
      <s:c r="AI175" s="42" t="inlineStr">
        <s:is>
          <s:t>docs/backlog-code-handoff-2026-09-08.json#S9-B03</s:t>
        </s:is>
      </s:c>
      <s:c r="AJ175" s="42" t="inlineStr">
        <s:is>
          <s:t>Programmer B / review: Programmer A</s:t>
        </s:is>
      </s:c>
    </s:row>
    <s:row r="176" ht="155.1" customHeight="1" s="48">
      <s:c r="A176" s="17" t="inlineStr">
        <s:is>
          <s:t>S9-A04</s:t>
        </s:is>
      </s:c>
      <s:c r="B176" s="18" t="inlineStr">
        <s:is>
          <s:t>S9</s:t>
        </s:is>
      </s:c>
      <s:c r="C176" s="18" t="inlineStr">
        <s:is>
          <s:t>Agency Operations</s:t>
        </s:is>
      </s:c>
      <s:c r="D176" s="12" t="inlineStr">
        <s:is>
          <s:t>Implement multi-brand agency productivity APIs</s:t>
        </s:is>
      </s:c>
      <s:c r="E176" s="13" t="inlineStr">
        <s:is>
          <s:t>Add cross-brand work queue/summary endpoints respecting member brand scope, bulk read models and safe batch commands for non-external-side-effect operations.</s:t>
        </s:is>
      </s:c>
      <s:c r="F176" s="13" t="inlineStr">
        <s:is>
          <s:t>Restricted user never sees unauthorized brand; batch operation returns per-item result; publish still per-item guarded/idempotent.</s:t>
        </s:is>
      </s:c>
      <s:c r="G176" s="18" t="inlineStr">
        <s:is>
          <s:t>S1-A04,S6-A11</s:t>
        </s:is>
      </s:c>
      <s:c r="H176" s="18" t="inlineStr">
        <s:is>
          <s:t>P1</s:t>
        </s:is>
      </s:c>
      <s:c r="I176" s="18" t="inlineStr">
        <s:is>
          <s:t>Programmer A</s:t>
        </s:is>
      </s:c>
      <s:c r="J176" s="18" t="inlineStr">
        <s:is>
          <s:t>Programmer B</s:t>
        </s:is>
      </s:c>
      <s:c r="K176" s="18" t="n">
        <s:v>8</s:v>
      </s:c>
      <s:c r="L176" s="32" t="inlineStr">
        <s:is>
          <s:t>Deferred</s:t>
        </s:is>
      </s:c>
      <s:c r="M176" s="13" t="inlineStr">
        <s:is>
          <s:t>Authz + load tests</s:t>
        </s:is>
      </s:c>
      <s:c r="N176" s="18" t="inlineStr">
        <s:is>
          <s:t>RG-02,RG-19</s:t>
        </s:is>
      </s:c>
      <s:c r="O176" s="13" t="inlineStr">
        <s:is>
          <s:t>No cross-tenant aggregation; same organization only unless future reseller tenancy ADR.</s:t>
        </s:is>
      </s:c>
      <s:c r="P176" s="18" t="inlineStr">
        <s:is>
          <s:t>agency APIs</s:t>
        </s:is>
      </s:c>
      <s:c r="Q176" s="14">
        <s:f>INDEX('01_ROADMAP'!$C$5:$C$15,MATCH(B176,'01_ROADMAP'!$A$5:$A$15,0))</s:f>
        <s:v>46398.0</s:v>
      </s:c>
      <s:c r="R176" s="14">
        <s:f>INDEX('01_ROADMAP'!$D$5:$D$15,MATCH(B176,'01_ROADMAP'!$A$5:$A$15,0))</s:f>
        <s:v>46411.0</s:v>
      </s:c>
      <s:c r="S176" s="29" t="inlineStr">
        <s:is>
          <s:t>docs/backlog-deep-audit-2026-09-07.json#S9-A04</s:t>
        </s:is>
      </s:c>
      <s:c r="T176" s="13" t="inlineStr">
        <s:is>
          <s:t>BACKEND</s:t>
        </s:is>
      </s:c>
      <s:c r="U176" s="13" t="inlineStr">
        <s:is>
          <s:t>Agency</s:t>
        </s:is>
      </s:c>
      <s:c r="V176" s="13" t="inlineStr">
        <s:is>
          <s:t>Growth</s:t>
        </s:is>
      </s:c>
      <s:c r="W176" s="13" t="inlineStr">
        <s:is>
          <s:t>Supports multi-brand dashboard without N+1 client fetching.</s:t>
        </s:is>
      </s:c>
      <s:c r="X176" s="13" t="inlineStr">
        <s:is>
          <s:t>Authz + load tests</s:t>
        </s:is>
      </s:c>
      <s:c r="Y176" s="59" t="inlineStr">
        <s:is>
          <s:t>Shtyrë</s:t>
        </s:is>
      </s:c>
      <s:c r="Z176" s="56" t="inlineStr">
        <s:is>
          <s:t>Agency dhe multi-brand janë jashtë scope-it me një biznes për pronar.</s:t>
        </s:is>
      </s:c>
      <s:c r="AA176" s="56" t="inlineStr">
        <s:is>
          <s:t>1. Pas multi-brand/RBAC/RLS: cross-brand work queues/read models dhe safe batch commands me per-item rezultate; provo restricted member në queries dhe mutacione.</s:t>
        </s:is>
      </s:c>
      <s:c r="AB176" s="56" t="inlineStr">
        <s:is>
          <s:t>Prova e kërkuar nga backlog-u: Authz + load tests
Kriteri për t'u verifikuar (nuk deklarohet i kaluar): Restricted user never sees unauthorized brand; batch operation returns per-item result; publish still per-item guarded/idempotent.
Pranimi kërkon edhe gate-et: RG-02,RG-19. Asnjë gate nuk është shënuar Passed nga ky audit.</s:t>
        </s:is>
      </s:c>
      <s:c r="AC176" s="56" t="inlineStr">
        <s:is>
          <s:t>Shtyrë sipas scope-it; nuk është realizuar. Kriteret dhe hapat e këtij rreshti vlejnë kur moduli të rikthehet në scope.</s:t>
        </s:is>
      </s:c>
      <s:c r="AD176" s="56" t="inlineStr">
        <s:is>
          <s:t>Nuk u gjet implementim specifik; shiko kriterin dhe hapat në AA/AB.</s:t>
        </s:is>
      </s:c>
      <s:c r="AE176" s="42" t="inlineStr">
        <s:is>
          <s:t>Shtyrë nga scope-i aktual</s:t>
        </s:is>
      </s:c>
      <s:c r="AF176" s="42" t="inlineStr">
        <s:is>
          <s:t>Jo në scope-in posts-only</s:t>
        </s:is>
      </s:c>
      <s:c r="AG176" s="42" t="inlineStr">
        <s:is>
          <s:t>Jo tani</s:t>
        </s:is>
      </s:c>
      <s:c r="AH176" s="42" t="inlineStr">
        <s:is>
          <s:t>Pas multi-brand/RBAC/RLS: cross-brand work queues/read models dhe safe batch commands me per-item rezultate; provo restricted member në queries dhe mutacione.</s:t>
        </s:is>
      </s:c>
      <s:c r="AI176" s="42" t="inlineStr">
        <s:is>
          <s:t>docs/backlog-code-handoff-2026-09-08.json#S9-A04</s:t>
        </s:is>
      </s:c>
      <s:c r="AJ176" s="42" t="inlineStr">
        <s:is>
          <s:t>Programmer A / review: Programmer B</s:t>
        </s:is>
      </s:c>
    </s:row>
    <s:row r="177" ht="155.1" customHeight="1" s="48">
      <s:c r="A177" s="17" t="inlineStr">
        <s:is>
          <s:t>S9-B04</s:t>
        </s:is>
      </s:c>
      <s:c r="B177" s="18" t="inlineStr">
        <s:is>
          <s:t>S9</s:t>
        </s:is>
      </s:c>
      <s:c r="C177" s="18" t="inlineStr">
        <s:is>
          <s:t>Agency UX</s:t>
        </s:is>
      </s:c>
      <s:c r="D177" s="12" t="inlineStr">
        <s:is>
          <s:t>Build cross-brand agency workspace</s:t>
        </s:is>
      </s:c>
      <s:c r="E177" s="13" t="inlineStr">
        <s:is>
          <s:t>Create brand switcher/search, cross-brand approvals/upcoming/issues view and batch navigation for permitted brands.</s:t>
        </s:is>
      </s:c>
      <s:c r="F177" s="13" t="inlineStr">
        <s:is>
          <s:t>No unauthorized brand metadata appears; large brand sets searchable; mobile remains navigable.</s:t>
        </s:is>
      </s:c>
      <s:c r="G177" s="18" t="inlineStr">
        <s:is>
          <s:t>S9-A04,S6-B10</s:t>
        </s:is>
      </s:c>
      <s:c r="H177" s="18" t="inlineStr">
        <s:is>
          <s:t>P1</s:t>
        </s:is>
      </s:c>
      <s:c r="I177" s="18" t="inlineStr">
        <s:is>
          <s:t>Programmer B</s:t>
        </s:is>
      </s:c>
      <s:c r="J177" s="18" t="inlineStr">
        <s:is>
          <s:t>Programmer A</s:t>
        </s:is>
      </s:c>
      <s:c r="K177" s="18" t="n">
        <s:v>10</s:v>
      </s:c>
      <s:c r="L177" s="32" t="inlineStr">
        <s:is>
          <s:t>Deferred</s:t>
        </s:is>
      </s:c>
      <s:c r="M177" s="13" t="inlineStr">
        <s:is>
          <s:t>E2E multi-brand</s:t>
        </s:is>
      </s:c>
      <s:c r="N177" s="18" t="inlineStr">
        <s:is>
          <s:t>RG-02,RG-19</s:t>
        </s:is>
      </s:c>
      <s:c r="O177" s="13" t="inlineStr">
        <s:is>
          <s:t>UI not authority; scope from API.</s:t>
        </s:is>
      </s:c>
      <s:c r="P177" s="18" t="inlineStr">
        <s:is>
          <s:t>agency workspace</s:t>
        </s:is>
      </s:c>
      <s:c r="Q177" s="14">
        <s:f>INDEX('01_ROADMAP'!$C$5:$C$15,MATCH(B177,'01_ROADMAP'!$A$5:$A$15,0))</s:f>
        <s:v>46398.0</s:v>
      </s:c>
      <s:c r="R177" s="14">
        <s:f>INDEX('01_ROADMAP'!$D$5:$D$15,MATCH(B177,'01_ROADMAP'!$A$5:$A$15,0))</s:f>
        <s:v>46411.0</s:v>
      </s:c>
      <s:c r="S177" s="29" t="inlineStr">
        <s:is>
          <s:t>docs/backlog-deep-audit-2026-09-07.json#S9-B04</s:t>
        </s:is>
      </s:c>
      <s:c r="T177" s="13" t="inlineStr">
        <s:is>
          <s:t>FRONTEND</s:t>
        </s:is>
      </s:c>
      <s:c r="U177" s="13" t="inlineStr">
        <s:is>
          <s:t>Agency</s:t>
        </s:is>
      </s:c>
      <s:c r="V177" s="13" t="inlineStr">
        <s:is>
          <s:t>Growth</s:t>
        </s:is>
      </s:c>
      <s:c r="W177" s="13" t="inlineStr">
        <s:is>
          <s:t>Dashboard/Table/CommandPalette.</s:t>
        </s:is>
      </s:c>
      <s:c r="X177" s="13" t="inlineStr">
        <s:is>
          <s:t>E2E multi-brand</s:t>
        </s:is>
      </s:c>
      <s:c r="Y177" s="59" t="inlineStr">
        <s:is>
          <s:t>Shtyrë</s:t>
        </s:is>
      </s:c>
      <s:c r="Z177" s="55" t="inlineStr">
        <s:is>
          <s:t>Agency dhe multi-brand janë jashtë scope-it me një biznes për pronar.</s:t>
        </s:is>
      </s:c>
      <s:c r="AA177" s="55" t="inlineStr">
        <s:is>
          <s:t>1. Pas API multi-brand: switcher/search, approvals/upcoming/issues ndër-brende dhe navigim të kufizuar; asnjë metadata e paautorizuar, teste me shumë brende dhe mobile.</s:t>
        </s:is>
      </s:c>
      <s:c r="AB177" s="55" t="inlineStr">
        <s:is>
          <s:t>Prova e kërkuar nga backlog-u: E2E multi-brand
Kriteri për t'u verifikuar (nuk deklarohet i kaluar): No unauthorized brand metadata appears; large brand sets searchable; mobile remains navigable.
Pranimi kërkon edhe gate-et: RG-02,RG-19. Asnjë gate nuk është shënuar Passed nga ky audit.</s:t>
        </s:is>
      </s:c>
      <s:c r="AC177" s="55" t="inlineStr">
        <s:is>
          <s:t>Shtyrë sipas scope-it; nuk është realizuar. Kriteret dhe hapat e këtij rreshti vlejnë kur moduli të rikthehet në scope.</s:t>
        </s:is>
      </s:c>
      <s:c r="AD177" s="55" t="inlineStr">
        <s:is>
          <s:t>Nuk u gjet implementim specifik; shiko kriterin dhe hapat në AA/AB.</s:t>
        </s:is>
      </s:c>
      <s:c r="AE177" s="42" t="inlineStr">
        <s:is>
          <s:t>Shtyrë nga scope-i aktual</s:t>
        </s:is>
      </s:c>
      <s:c r="AF177" s="42" t="inlineStr">
        <s:is>
          <s:t>Jo në scope-in posts-only</s:t>
        </s:is>
      </s:c>
      <s:c r="AG177" s="42" t="inlineStr">
        <s:is>
          <s:t>Jo tani</s:t>
        </s:is>
      </s:c>
      <s:c r="AH177" s="42" t="inlineStr">
        <s:is>
          <s:t>Pas API multi-brand: switcher/search, approvals/upcoming/issues ndër-brende dhe navigim të kufizuar; asnjë metadata e paautorizuar, teste me shumë brende dhe mobile.</s:t>
        </s:is>
      </s:c>
      <s:c r="AI177" s="42" t="inlineStr">
        <s:is>
          <s:t>docs/backlog-code-handoff-2026-09-08.json#S9-B04</s:t>
        </s:is>
      </s:c>
      <s:c r="AJ177" s="42" t="inlineStr">
        <s:is>
          <s:t>Programmer B / review: Programmer A</s:t>
        </s:is>
      </s:c>
    </s:row>
    <s:row r="178" ht="155.1" customHeight="1" s="48">
      <s:c r="A178" s="17" t="inlineStr">
        <s:is>
          <s:t>S9-A05</s:t>
        </s:is>
      </s:c>
      <s:c r="B178" s="18" t="inlineStr">
        <s:is>
          <s:t>S9</s:t>
        </s:is>
      </s:c>
      <s:c r="C178" s="18" t="inlineStr">
        <s:is>
          <s:t>Bulk Operations</s:t>
        </s:is>
      </s:c>
      <s:c r="D178" s="12" t="inlineStr">
        <s:is>
          <s:t>Implement safe batch content actions</s:t>
        </s:is>
      </s:c>
      <s:c r="E178" s="13" t="inlineStr">
        <s:is>
          <s:t>Support batch tag, assign campaign, archive, schedule suggestions and regenerate plan with per-item validation; external publishing remains individually recorded.</s:t>
        </s:is>
      </s:c>
      <s:c r="F178" s="13" t="inlineStr">
        <s:is>
          <s:t>Partial failures reported; retries idempotent; batch never bypasses approval/policy.</s:t>
        </s:is>
      </s:c>
      <s:c r="G178" s="18" t="inlineStr">
        <s:is>
          <s:t>S7-A03,S4-A01</s:t>
        </s:is>
      </s:c>
      <s:c r="H178" s="18" t="inlineStr">
        <s:is>
          <s:t>P1</s:t>
        </s:is>
      </s:c>
      <s:c r="I178" s="18" t="inlineStr">
        <s:is>
          <s:t>Programmer A</s:t>
        </s:is>
      </s:c>
      <s:c r="J178" s="18" t="inlineStr">
        <s:is>
          <s:t>Programmer B</s:t>
        </s:is>
      </s:c>
      <s:c r="K178" s="18" t="n">
        <s:v>6</s:v>
      </s:c>
      <s:c r="L178" s="32" t="inlineStr">
        <s:is>
          <s:t>Deferred</s:t>
        </s:is>
      </s:c>
      <s:c r="M178" s="13" t="inlineStr">
        <s:is>
          <s:t>Batch fault tests</s:t>
        </s:is>
      </s:c>
      <s:c r="N178" s="18" t="inlineStr">
        <s:is>
          <s:t>RG-19</s:t>
        </s:is>
      </s:c>
      <s:c r="O178" s="13" t="inlineStr">
        <s:is>
          <s:t>Audit batch actor + item results.</s:t>
        </s:is>
      </s:c>
      <s:c r="P178" s="18" t="inlineStr">
        <s:is>
          <s:t>batch command service</s:t>
        </s:is>
      </s:c>
      <s:c r="Q178" s="14">
        <s:f>INDEX('01_ROADMAP'!$C$5:$C$15,MATCH(B178,'01_ROADMAP'!$A$5:$A$15,0))</s:f>
        <s:v>46398.0</s:v>
      </s:c>
      <s:c r="R178" s="14">
        <s:f>INDEX('01_ROADMAP'!$D$5:$D$15,MATCH(B178,'01_ROADMAP'!$A$5:$A$15,0))</s:f>
        <s:v>46411.0</s:v>
      </s:c>
      <s:c r="S178" s="29" t="inlineStr">
        <s:is>
          <s:t>docs/backlog-deep-audit-2026-09-07.json#S9-A05</s:t>
        </s:is>
      </s:c>
      <s:c r="T178" s="13" t="inlineStr">
        <s:is>
          <s:t>BACKEND</s:t>
        </s:is>
      </s:c>
      <s:c r="U178" s="13" t="inlineStr">
        <s:is>
          <s:t>Content Studio</s:t>
        </s:is>
      </s:c>
      <s:c r="V178" s="13" t="inlineStr">
        <s:is>
          <s:t>Growth</s:t>
        </s:is>
      </s:c>
      <s:c r="W178" s="13" t="inlineStr">
        <s:is>
          <s:t>Frontend can show progress/results.</s:t>
        </s:is>
      </s:c>
      <s:c r="X178" s="13" t="inlineStr">
        <s:is>
          <s:t>Batch fault tests</s:t>
        </s:is>
      </s:c>
      <s:c r="Y178" s="59" t="inlineStr">
        <s:is>
          <s:t>Shtyrë</s:t>
        </s:is>
      </s:c>
      <s:c r="Z178" s="56" t="inlineStr">
        <s:is>
          <s:t>Bulk content actions janë planifikuar si zgjerim S9; nuk janë bërë.</s:t>
        </s:is>
      </s:c>
      <s:c r="AA178" s="56" t="inlineStr">
        <s:is>
          <s:t>1. Pas rikthimit të batch: commands për tags/archive/schedule suggestions dhe generation plan me per-item validation/idempotency; publikimi ruan approval/policy dhe ledger për secilin postim.</s:t>
        </s:is>
      </s:c>
      <s:c r="AB178" s="56" t="inlineStr">
        <s:is>
          <s:t>Prova e kërkuar nga backlog-u: Batch fault tests
Kriteri për t'u verifikuar (nuk deklarohet i kaluar): Partial failures reported; retries idempotent; batch never bypasses approval/policy.
Pranimi kërkon edhe gate-et: RG-19. Asnjë gate nuk është shënuar Passed nga ky audit.</s:t>
        </s:is>
      </s:c>
      <s:c r="AC178" s="56" t="inlineStr">
        <s:is>
          <s:t>Shtyrë sipas scope-it; nuk është realizuar. Kriteret dhe hapat e këtij rreshti vlejnë kur moduli të rikthehet në scope.</s:t>
        </s:is>
      </s:c>
      <s:c r="AD178" s="56" t="inlineStr">
        <s:is>
          <s:t>Nuk u gjet implementim specifik; shiko kriterin dhe hapat në AA/AB.</s:t>
        </s:is>
      </s:c>
      <s:c r="AE178" s="42" t="inlineStr">
        <s:is>
          <s:t>Shtyrë nga scope-i aktual</s:t>
        </s:is>
      </s:c>
      <s:c r="AF178" s="42" t="inlineStr">
        <s:is>
          <s:t>Jo në scope-in posts-only</s:t>
        </s:is>
      </s:c>
      <s:c r="AG178" s="42" t="inlineStr">
        <s:is>
          <s:t>Jo tani</s:t>
        </s:is>
      </s:c>
      <s:c r="AH178" s="42" t="inlineStr">
        <s:is>
          <s:t>Pas rikthimit të batch: commands për tags/archive/schedule suggestions dhe generation plan me per-item validation/idempotency; publikimi ruan approval/policy dhe ledger për secilin postim.</s:t>
        </s:is>
      </s:c>
      <s:c r="AI178" s="42" t="inlineStr">
        <s:is>
          <s:t>docs/backlog-code-handoff-2026-09-08.json#S9-A05</s:t>
        </s:is>
      </s:c>
      <s:c r="AJ178" s="42" t="inlineStr">
        <s:is>
          <s:t>Programmer A / review: Programmer B</s:t>
        </s:is>
      </s:c>
    </s:row>
    <s:row r="179" ht="155.1" customHeight="1" s="48">
      <s:c r="A179" s="17" t="inlineStr">
        <s:is>
          <s:t>S9-B05</s:t>
        </s:is>
      </s:c>
      <s:c r="B179" s="18" t="inlineStr">
        <s:is>
          <s:t>S9</s:t>
        </s:is>
      </s:c>
      <s:c r="C179" s="18" t="inlineStr">
        <s:is>
          <s:t>Bulk Operations UX</s:t>
        </s:is>
      </s:c>
      <s:c r="D179" s="12" t="inlineStr">
        <s:is>
          <s:t>Build bulk content selection/action UX</s:t>
        </s:is>
      </s:c>
      <s:c r="E179" s="13" t="inlineStr">
        <s:is>
          <s:t>Add accessible multi-select, action bar, confirmation for consequential changes and per-item result summary.</s:t>
        </s:is>
      </s:c>
      <s:c r="F179" s="13" t="inlineStr">
        <s:is>
          <s:t>Selection persists predictably across current page/filter only per spec; errors attributable to items; mobile fallback usable.</s:t>
        </s:is>
      </s:c>
      <s:c r="G179" s="18" t="inlineStr">
        <s:is>
          <s:t>S9-A05</s:t>
        </s:is>
      </s:c>
      <s:c r="H179" s="18" t="inlineStr">
        <s:is>
          <s:t>P1</s:t>
        </s:is>
      </s:c>
      <s:c r="I179" s="18" t="inlineStr">
        <s:is>
          <s:t>Programmer B</s:t>
        </s:is>
      </s:c>
      <s:c r="J179" s="18" t="inlineStr">
        <s:is>
          <s:t>Programmer A</s:t>
        </s:is>
      </s:c>
      <s:c r="K179" s="18" t="n">
        <s:v>8</s:v>
      </s:c>
      <s:c r="L179" s="32" t="inlineStr">
        <s:is>
          <s:t>Deferred</s:t>
        </s:is>
      </s:c>
      <s:c r="M179" s="13" t="inlineStr">
        <s:is>
          <s:t>E2E + a11y</s:t>
        </s:is>
      </s:c>
      <s:c r="N179" s="18" t="inlineStr">
        <s:is>
          <s:t>RG-19</s:t>
        </s:is>
      </s:c>
      <s:c r="O179" s="13" t="inlineStr">
        <s:is>
          <s:t>No mass publish shortcut bypassing approval.</s:t>
        </s:is>
      </s:c>
      <s:c r="P179" s="18" t="inlineStr">
        <s:is>
          <s:t>bulk actions UI</s:t>
        </s:is>
      </s:c>
      <s:c r="Q179" s="14">
        <s:f>INDEX('01_ROADMAP'!$C$5:$C$15,MATCH(B179,'01_ROADMAP'!$A$5:$A$15,0))</s:f>
        <s:v>46398.0</s:v>
      </s:c>
      <s:c r="R179" s="14">
        <s:f>INDEX('01_ROADMAP'!$D$5:$D$15,MATCH(B179,'01_ROADMAP'!$A$5:$A$15,0))</s:f>
        <s:v>46411.0</s:v>
      </s:c>
      <s:c r="S179" s="29" t="inlineStr">
        <s:is>
          <s:t>docs/backlog-deep-audit-2026-09-07.json#S9-B05</s:t>
        </s:is>
      </s:c>
      <s:c r="T179" s="13" t="inlineStr">
        <s:is>
          <s:t>FRONTEND</s:t>
        </s:is>
      </s:c>
      <s:c r="U179" s="13" t="inlineStr">
        <s:is>
          <s:t>Content Studio</s:t>
        </s:is>
      </s:c>
      <s:c r="V179" s="13" t="inlineStr">
        <s:is>
          <s:t>Growth</s:t>
        </s:is>
      </s:c>
      <s:c r="W179" s="13" t="inlineStr">
        <s:is>
          <s:t>Table/Grid selection + Drawer/Modal.</s:t>
        </s:is>
      </s:c>
      <s:c r="X179" s="13" t="inlineStr">
        <s:is>
          <s:t>E2E + a11y</s:t>
        </s:is>
      </s:c>
      <s:c r="Y179" s="59" t="inlineStr">
        <s:is>
          <s:t>Shtyrë</s:t>
        </s:is>
      </s:c>
      <s:c r="Z179" s="55" t="inlineStr">
        <s:is>
          <s:t>Bulk content actions janë planifikuar si zgjerim S9; nuk janë bërë.</s:t>
        </s:is>
      </s:c>
      <s:c r="AA179" s="55" t="inlineStr">
        <s:is>
          <s:t>1. Pas batch API: multi-select i aksesueshëm, action bar/confirmation dhe rezultat për çdo item; cakto sjelljen e selection pas faqes/filtrit dhe mobile fallback.</s:t>
        </s:is>
      </s:c>
      <s:c r="AB179" s="55" t="inlineStr">
        <s:is>
          <s:t>Prova e kërkuar nga backlog-u: E2E + a11y
Kriteri për t'u verifikuar (nuk deklarohet i kaluar): Selection persists predictably across current page/filter only per spec; errors attributable to items; mobile fallback usable.
Pranimi kërkon edhe gate-et: RG-19. Asnjë gate nuk është shënuar Passed nga ky audit.</s:t>
        </s:is>
      </s:c>
      <s:c r="AC179" s="55" t="inlineStr">
        <s:is>
          <s:t>Shtyrë sipas scope-it; nuk është realizuar. Kriteret dhe hapat e këtij rreshti vlejnë kur moduli të rikthehet në scope.</s:t>
        </s:is>
      </s:c>
      <s:c r="AD179" s="55" t="inlineStr">
        <s:is>
          <s:t>Nuk u gjet implementim specifik; shiko kriterin dhe hapat në AA/AB.</s:t>
        </s:is>
      </s:c>
      <s:c r="AE179" s="42" t="inlineStr">
        <s:is>
          <s:t>Shtyrë nga scope-i aktual</s:t>
        </s:is>
      </s:c>
      <s:c r="AF179" s="42" t="inlineStr">
        <s:is>
          <s:t>Jo në scope-in posts-only</s:t>
        </s:is>
      </s:c>
      <s:c r="AG179" s="42" t="inlineStr">
        <s:is>
          <s:t>Jo tani</s:t>
        </s:is>
      </s:c>
      <s:c r="AH179" s="42" t="inlineStr">
        <s:is>
          <s:t>Pas batch API: multi-select i aksesueshëm, action bar/confirmation dhe rezultat për çdo item; cakto sjelljen e selection pas faqes/filtrit dhe mobile fallback.</s:t>
        </s:is>
      </s:c>
      <s:c r="AI179" s="42" t="inlineStr">
        <s:is>
          <s:t>docs/backlog-code-handoff-2026-09-08.json#S9-B05</s:t>
        </s:is>
      </s:c>
      <s:c r="AJ179" s="42" t="inlineStr">
        <s:is>
          <s:t>Programmer B / review: Programmer A</s:t>
        </s:is>
      </s:c>
    </s:row>
    <s:row r="180" ht="155.1" customHeight="1" s="48">
      <s:c r="A180" s="17" t="inlineStr">
        <s:is>
          <s:t>S10-A01</s:t>
        </s:is>
      </s:c>
      <s:c r="B180" s="18" t="inlineStr">
        <s:is>
          <s:t>S10</s:t>
        </s:is>
      </s:c>
      <s:c r="C180" s="18" t="inlineStr">
        <s:is>
          <s:t>Experimentation</s:t>
        </s:is>
      </s:c>
      <s:c r="D180" s="12" t="inlineStr">
        <s:is>
          <s:t>Implement lightweight content experiment framework</s:t>
        </s:is>
      </s:c>
      <s:c r="E180" s="13" t="inlineStr">
        <s:is>
          <s:t>Allow paired content variants with explicit hypothesis/goal and metric window; assign experiment links, not audience-level randomization requiring ad-tech.</s:t>
        </s:is>
      </s:c>
      <s:c r="F180" s="13" t="inlineStr">
        <s:is>
          <s:t>Experiment result states uncertainty; no invalid statistical certainty; same content not double-counted.</s:t>
        </s:is>
      </s:c>
      <s:c r="G180" s="18" t="inlineStr">
        <s:is>
          <s:t>S7-A10,S7-A01</s:t>
        </s:is>
      </s:c>
      <s:c r="H180" s="18" t="inlineStr">
        <s:is>
          <s:t>P2</s:t>
        </s:is>
      </s:c>
      <s:c r="I180" s="18" t="inlineStr">
        <s:is>
          <s:t>Programmer A</s:t>
        </s:is>
      </s:c>
      <s:c r="J180" s="18" t="inlineStr">
        <s:is>
          <s:t>Programmer B</s:t>
        </s:is>
      </s:c>
      <s:c r="K180" s="18" t="n">
        <s:v>8</s:v>
      </s:c>
      <s:c r="L180" s="32" t="inlineStr">
        <s:is>
          <s:t>Deferred</s:t>
        </s:is>
      </s:c>
      <s:c r="M180" s="13" t="inlineStr">
        <s:is>
          <s:t>Replay + metric tests</s:t>
        </s:is>
      </s:c>
      <s:c r="N180" s="18" t="inlineStr">
        <s:is>
          <s:t>Post-GA</s:t>
        </s:is>
      </s:c>
      <s:c r="O180" s="13" t="inlineStr">
        <s:is>
          <s:t>No sensitive targeting or user-level profiling.</s:t>
        </s:is>
      </s:c>
      <s:c r="P180" s="18" t="inlineStr">
        <s:is>
          <s:t>content experiment domain</s:t>
        </s:is>
      </s:c>
      <s:c r="Q180" s="14">
        <s:f>INDEX('01_ROADMAP'!$C$5:$C$15,MATCH(B180,'01_ROADMAP'!$A$5:$A$15,0))</s:f>
        <s:v>46412.0</s:v>
      </s:c>
      <s:c r="R180" s="14">
        <s:f>INDEX('01_ROADMAP'!$D$5:$D$15,MATCH(B180,'01_ROADMAP'!$A$5:$A$15,0))</s:f>
        <s:v>46425.0</s:v>
      </s:c>
      <s:c r="S180" s="29" t="inlineStr">
        <s:is>
          <s:t>docs/backlog-deep-audit-2026-09-07.json#S10-A01</s:t>
        </s:is>
      </s:c>
      <s:c r="T180" s="13" t="inlineStr">
        <s:is>
          <s:t>AI/ANALYTICS</s:t>
        </s:is>
      </s:c>
      <s:c r="U180" s="13" t="inlineStr">
        <s:is>
          <s:t>Analytics</s:t>
        </s:is>
      </s:c>
      <s:c r="V180" s="13" t="inlineStr">
        <s:is>
          <s:t>Growth</s:t>
        </s:is>
      </s:c>
      <s:c r="W180" s="13" t="inlineStr">
        <s:is>
          <s:t>UI compares variants and learning.</s:t>
        </s:is>
      </s:c>
      <s:c r="X180" s="13" t="inlineStr">
        <s:is>
          <s:t>Replay + metric tests</s:t>
        </s:is>
      </s:c>
      <s:c r="Y180" s="59" t="inlineStr">
        <s:is>
          <s:t>Shtyrë</s:t>
        </s:is>
      </s:c>
      <s:c r="Z180" s="56" t="inlineStr">
        <s:is>
          <s:t>Eksperimentet dhe krahasimi i performancës janë pas-GA dhe jashtë fokusit aktual te krijimi/kalendari.</s:t>
        </s:is>
      </s:c>
      <s:c r="AA180" s="56" t="inlineStr">
        <s:is>
          <s:t>1. Pas metrics: experiment me hypothesis/goal, çifte variantesh dhe metric window; mos numëro content dy herë dhe kthe uncertainty pa pretendim të pavërtetuar statistikor.</s:t>
        </s:is>
      </s:c>
      <s:c r="AB180" s="56" t="inlineStr">
        <s:is>
          <s:t>Prova e kërkuar nga backlog-u: Replay + metric tests
Kriteri për t'u verifikuar (nuk deklarohet i kaluar): Experiment result states uncertainty; no invalid statistical certainty; same content not double-counted.
Pranimi kërkon edhe gate-et: Post-GA. Asnjë gate nuk është shënuar Passed nga ky audit.</s:t>
        </s:is>
      </s:c>
      <s:c r="AC180" s="56" t="inlineStr">
        <s:is>
          <s:t>Shtyrë sipas scope-it; nuk është realizuar. Kriteret dhe hapat e këtij rreshti vlejnë kur moduli të rikthehet në scope.</s:t>
        </s:is>
      </s:c>
      <s:c r="AD180" s="56" t="inlineStr">
        <s:is>
          <s:t>Nuk u gjet implementim specifik; shiko kriterin dhe hapat në AA/AB.</s:t>
        </s:is>
      </s:c>
      <s:c r="AE180" s="42" t="inlineStr">
        <s:is>
          <s:t>Shtyrë nga scope-i aktual</s:t>
        </s:is>
      </s:c>
      <s:c r="AF180" s="42" t="inlineStr">
        <s:is>
          <s:t>Jo në scope-in posts-only</s:t>
        </s:is>
      </s:c>
      <s:c r="AG180" s="42" t="inlineStr">
        <s:is>
          <s:t>Jo tani</s:t>
        </s:is>
      </s:c>
      <s:c r="AH180" s="42" t="inlineStr">
        <s:is>
          <s:t>Pas metrics: experiment me hypothesis/goal, çifte variantesh dhe metric window; mos numëro content dy herë dhe kthe uncertainty pa pretendim të pavërtetuar statistikor.</s:t>
        </s:is>
      </s:c>
      <s:c r="AI180" s="42" t="inlineStr">
        <s:is>
          <s:t>docs/backlog-code-handoff-2026-09-08.json#S10-A01</s:t>
        </s:is>
      </s:c>
      <s:c r="AJ180" s="42" t="inlineStr">
        <s:is>
          <s:t>Programmer A / review: Programmer B</s:t>
        </s:is>
      </s:c>
    </s:row>
    <s:row r="181" ht="155.1" customHeight="1" s="48">
      <s:c r="A181" s="17" t="inlineStr">
        <s:is>
          <s:t>S10-B01</s:t>
        </s:is>
      </s:c>
      <s:c r="B181" s="18" t="inlineStr">
        <s:is>
          <s:t>S10</s:t>
        </s:is>
      </s:c>
      <s:c r="C181" s="18" t="inlineStr">
        <s:is>
          <s:t>Experimentation UX</s:t>
        </s:is>
      </s:c>
      <s:c r="D181" s="12" t="inlineStr">
        <s:is>
          <s:t>Build experiment compare/create experience</s:t>
        </s:is>
      </s:c>
      <s:c r="E181" s="13" t="inlineStr">
        <s:is>
          <s:t>Create simple hypothesis, variant selection, metric goal, run window and comparison report with caveats.</s:t>
        </s:is>
      </s:c>
      <s:c r="F181" s="13" t="inlineStr">
        <s:is>
          <s:t>User understands what is being compared; unavailable metrics shown as unavailable; no pseudo-scientific winner language.</s:t>
        </s:is>
      </s:c>
      <s:c r="G181" s="18" t="inlineStr">
        <s:is>
          <s:t>S10-A01</s:t>
        </s:is>
      </s:c>
      <s:c r="H181" s="18" t="inlineStr">
        <s:is>
          <s:t>P2</s:t>
        </s:is>
      </s:c>
      <s:c r="I181" s="18" t="inlineStr">
        <s:is>
          <s:t>Programmer B</s:t>
        </s:is>
      </s:c>
      <s:c r="J181" s="18" t="inlineStr">
        <s:is>
          <s:t>Programmer A</s:t>
        </s:is>
      </s:c>
      <s:c r="K181" s="18" t="n">
        <s:v>8</s:v>
      </s:c>
      <s:c r="L181" s="32" t="inlineStr">
        <s:is>
          <s:t>Deferred</s:t>
        </s:is>
      </s:c>
      <s:c r="M181" s="13" t="inlineStr">
        <s:is>
          <s:t>UX + E2E</s:t>
        </s:is>
      </s:c>
      <s:c r="N181" s="18" t="inlineStr">
        <s:is>
          <s:t>Post-GA</s:t>
        </s:is>
      </s:c>
      <s:c r="O181" s="13" t="inlineStr">
        <s:is>
          <s:t>No dark-pattern recommendations.</s:t>
        </s:is>
      </s:c>
      <s:c r="P181" s="18" t="inlineStr">
        <s:is>
          <s:t>experiment UX</s:t>
        </s:is>
      </s:c>
      <s:c r="Q181" s="14">
        <s:f>INDEX('01_ROADMAP'!$C$5:$C$15,MATCH(B181,'01_ROADMAP'!$A$5:$A$15,0))</s:f>
        <s:v>46412.0</s:v>
      </s:c>
      <s:c r="R181" s="14">
        <s:f>INDEX('01_ROADMAP'!$D$5:$D$15,MATCH(B181,'01_ROADMAP'!$A$5:$A$15,0))</s:f>
        <s:v>46425.0</s:v>
      </s:c>
      <s:c r="S181" s="29" t="inlineStr">
        <s:is>
          <s:t>docs/backlog-deep-audit-2026-09-07.json#S10-B01</s:t>
        </s:is>
      </s:c>
      <s:c r="T181" s="13" t="inlineStr">
        <s:is>
          <s:t>FRONTEND</s:t>
        </s:is>
      </s:c>
      <s:c r="U181" s="13" t="inlineStr">
        <s:is>
          <s:t>Analytics</s:t>
        </s:is>
      </s:c>
      <s:c r="V181" s="13" t="inlineStr">
        <s:is>
          <s:t>Growth</s:t>
        </s:is>
      </s:c>
      <s:c r="W181" s="13" t="inlineStr">
        <s:is>
          <s:t>Tabs/Table/Card/Alert.</s:t>
        </s:is>
      </s:c>
      <s:c r="X181" s="13" t="inlineStr">
        <s:is>
          <s:t>UX + E2E</s:t>
        </s:is>
      </s:c>
      <s:c r="Y181" s="59" t="inlineStr">
        <s:is>
          <s:t>Shtyrë</s:t>
        </s:is>
      </s:c>
      <s:c r="Z181" s="55" t="inlineStr">
        <s:is>
          <s:t>Eksperimentet dhe krahasimi i performancës janë pas-GA dhe jashtë fokusit aktual te krijimi/kalendari.</s:t>
        </s:is>
      </s:c>
      <s:c r="AA181" s="55" t="inlineStr">
        <s:is>
          <s:t>1. Pas experiment API: formular hypothesis/variant/goal/window dhe compare report; unsupported metrics mbeten të tilla dhe gjuha e rezultatit pasqyron pasigurinë.</s:t>
        </s:is>
      </s:c>
      <s:c r="AB181" s="55" t="inlineStr">
        <s:is>
          <s:t>Prova e kërkuar nga backlog-u: UX + E2E
Kriteri për t'u verifikuar (nuk deklarohet i kaluar): User understands what is being compared; unavailable metrics shown as unavailable; no pseudo-scientific winner language.
Pranimi kërkon edhe gate-et: Post-GA. Asnjë gate nuk është shënuar Passed nga ky audit.</s:t>
        </s:is>
      </s:c>
      <s:c r="AC181" s="55" t="inlineStr">
        <s:is>
          <s:t>Shtyrë sipas scope-it; nuk është realizuar. Kriteret dhe hapat e këtij rreshti vlejnë kur moduli të rikthehet në scope.</s:t>
        </s:is>
      </s:c>
      <s:c r="AD181" s="55" t="inlineStr">
        <s:is>
          <s:t>Nuk u gjet implementim specifik; shiko kriterin dhe hapat në AA/AB.</s:t>
        </s:is>
      </s:c>
      <s:c r="AE181" s="42" t="inlineStr">
        <s:is>
          <s:t>Shtyrë nga scope-i aktual</s:t>
        </s:is>
      </s:c>
      <s:c r="AF181" s="42" t="inlineStr">
        <s:is>
          <s:t>Jo në scope-in posts-only</s:t>
        </s:is>
      </s:c>
      <s:c r="AG181" s="42" t="inlineStr">
        <s:is>
          <s:t>Jo tani</s:t>
        </s:is>
      </s:c>
      <s:c r="AH181" s="42" t="inlineStr">
        <s:is>
          <s:t>Pas experiment API: formular hypothesis/variant/goal/window dhe compare report; unsupported metrics mbeten të tilla dhe gjuha e rezultatit pasqyron pasigurinë.</s:t>
        </s:is>
      </s:c>
      <s:c r="AI181" s="42" t="inlineStr">
        <s:is>
          <s:t>docs/backlog-code-handoff-2026-09-08.json#S10-B01</s:t>
        </s:is>
      </s:c>
      <s:c r="AJ181" s="42" t="inlineStr">
        <s:is>
          <s:t>Programmer B / review: Programmer A</s:t>
        </s:is>
      </s:c>
    </s:row>
    <s:row r="182" ht="155.1" customHeight="1" s="48">
      <s:c r="A182" s="17" t="inlineStr">
        <s:is>
          <s:t>S10-A02</s:t>
        </s:is>
      </s:c>
      <s:c r="B182" s="18" t="inlineStr">
        <s:is>
          <s:t>S10</s:t>
        </s:is>
      </s:c>
      <s:c r="C182" s="18" t="inlineStr">
        <s:is>
          <s:t>Autopilot</s:t>
        </s:is>
      </s:c>
      <s:c r="D182" s="12" t="inlineStr">
        <s:is>
          <s:t>Implement trusted autopilot policy for low-risk content</s:t>
        </s:is>
      </s:c>
      <s:c r="E182" s="13" t="inlineStr">
        <s:is>
          <s:t>Add brand-level policy with allowed content types, max frequency, quiet hours, budget, approval exceptions and automatic pause on policy/provider anomalies.</s:t>
        </s:is>
      </s:c>
      <s:c r="F182" s="13" t="inlineStr">
        <s:is>
          <s:t>Autopilot cannot publish blocked/warn-requires-human content; pause is fail-safe; every auto action audit identifies policy version.</s:t>
        </s:is>
      </s:c>
      <s:c r="G182" s="18" t="inlineStr">
        <s:is>
          <s:t>S6-A12,S7-A09,S4-A01</s:t>
        </s:is>
      </s:c>
      <s:c r="H182" s="18" t="inlineStr">
        <s:is>
          <s:t>P2</s:t>
        </s:is>
      </s:c>
      <s:c r="I182" s="18" t="inlineStr">
        <s:is>
          <s:t>Programmer A</s:t>
        </s:is>
      </s:c>
      <s:c r="J182" s="18" t="inlineStr">
        <s:is>
          <s:t>Programmer B</s:t>
        </s:is>
      </s:c>
      <s:c r="K182" s="18" t="n">
        <s:v>10</s:v>
      </s:c>
      <s:c r="L182" s="32" t="inlineStr">
        <s:is>
          <s:t>Deferred</s:t>
        </s:is>
      </s:c>
      <s:c r="M182" s="13" t="inlineStr">
        <s:is>
          <s:t>State/fault/safety tests</s:t>
        </s:is>
      </s:c>
      <s:c r="N182" s="18" t="inlineStr">
        <s:is>
          <s:t>RG-16</s:t>
        </s:is>
      </s:c>
      <s:c r="O182" s="13" t="inlineStr">
        <s:is>
          <s:t>Disabled by default; sensitive verticals require stricter policy.</s:t>
        </s:is>
      </s:c>
      <s:c r="P182" s="18" t="inlineStr">
        <s:is>
          <s:t>autopilot policy engine</s:t>
        </s:is>
      </s:c>
      <s:c r="Q182" s="14">
        <s:f>INDEX('01_ROADMAP'!$C$5:$C$15,MATCH(B182,'01_ROADMAP'!$A$5:$A$15,0))</s:f>
        <s:v>46412.0</s:v>
      </s:c>
      <s:c r="R182" s="14">
        <s:f>INDEX('01_ROADMAP'!$D$5:$D$15,MATCH(B182,'01_ROADMAP'!$A$5:$A$15,0))</s:f>
        <s:v>46425.0</s:v>
      </s:c>
      <s:c r="S182" s="29" t="inlineStr">
        <s:is>
          <s:t>docs/backlog-deep-audit-2026-09-07.json#S10-A02</s:t>
        </s:is>
      </s:c>
      <s:c r="T182" s="13" t="inlineStr">
        <s:is>
          <s:t>AI/SECURITY</s:t>
        </s:is>
      </s:c>
      <s:c r="U182" s="13" t="inlineStr">
        <s:is>
          <s:t>Strategy</s:t>
        </s:is>
      </s:c>
      <s:c r="V182" s="13" t="inlineStr">
        <s:is>
          <s:t>Growth</s:t>
        </s:is>
      </s:c>
      <s:c r="W182" s="13" t="inlineStr">
        <s:is>
          <s:t>Frontend clearly shows active scope/pause.</s:t>
        </s:is>
      </s:c>
      <s:c r="X182" s="13" t="inlineStr">
        <s:is>
          <s:t>State/fault/safety tests</s:t>
        </s:is>
      </s:c>
      <s:c r="Y182" s="59" t="inlineStr">
        <s:is>
          <s:t>Shtyrë</s:t>
        </s:is>
      </s:c>
      <s:c r="Z182" s="56" t="inlineStr">
        <s:is>
          <s:t>Autopilot që vendos vetë për postime nuk është implementuar dhe mbetet pas-GA.</s:t>
        </s:is>
      </s:c>
      <s:c r="AA182" s="56" t="inlineStr">
        <s:is>
          <s:t>1. Pas policy/ledger: autopilot brand-level me formate, frequency/quiet-hours/budget/exclusions dhe fail-safe pause; versioni i policy në çdo veprim. Scheduling i miratuar manualisht nuk e mbyll këtë task.</s:t>
        </s:is>
      </s:c>
      <s:c r="AB182" s="56" t="inlineStr">
        <s:is>
          <s:t>Prova e kërkuar nga backlog-u: State/fault/safety tests
Kriteri për t'u verifikuar (nuk deklarohet i kaluar): Autopilot cannot publish blocked/warn-requires-human content; pause is fail-safe; every auto action audit identifies policy version.
Pranimi kërkon edhe gate-et: RG-16. Asnjë gate nuk është shënuar Passed nga ky audit.</s:t>
        </s:is>
      </s:c>
      <s:c r="AC182" s="56" t="inlineStr">
        <s:is>
          <s:t>Shtyrë sipas scope-it; nuk është realizuar. Kriteret dhe hapat e këtij rreshti vlejnë kur moduli të rikthehet në scope.</s:t>
        </s:is>
      </s:c>
      <s:c r="AD182" s="56" t="inlineStr">
        <s:is>
          <s:t>Nuk u gjet implementim specifik; shiko kriterin dhe hapat në AA/AB.</s:t>
        </s:is>
      </s:c>
      <s:c r="AE182" s="42" t="inlineStr">
        <s:is>
          <s:t>Shtyrë nga scope-i aktual</s:t>
        </s:is>
      </s:c>
      <s:c r="AF182" s="42" t="inlineStr">
        <s:is>
          <s:t>Jo në scope-in posts-only</s:t>
        </s:is>
      </s:c>
      <s:c r="AG182" s="42" t="inlineStr">
        <s:is>
          <s:t>Jo tani</s:t>
        </s:is>
      </s:c>
      <s:c r="AH182" s="42" t="inlineStr">
        <s:is>
          <s:t>Pas policy/ledger: autopilot brand-level me formate, frequency/quiet-hours/budget/exclusions dhe fail-safe pause; versioni i policy në çdo veprim. Scheduling i miratuar manualisht nuk e mbyll këtë task.</s:t>
        </s:is>
      </s:c>
      <s:c r="AI182" s="42" t="inlineStr">
        <s:is>
          <s:t>docs/backlog-code-handoff-2026-09-08.json#S10-A02</s:t>
        </s:is>
      </s:c>
      <s:c r="AJ182" s="42" t="inlineStr">
        <s:is>
          <s:t>Programmer A / review: Programmer B</s:t>
        </s:is>
      </s:c>
    </s:row>
    <s:row r="183" ht="155.1" customHeight="1" s="48">
      <s:c r="A183" s="17" t="inlineStr">
        <s:is>
          <s:t>S10-B02</s:t>
        </s:is>
      </s:c>
      <s:c r="B183" s="18" t="inlineStr">
        <s:is>
          <s:t>S10</s:t>
        </s:is>
      </s:c>
      <s:c r="C183" s="18" t="inlineStr">
        <s:is>
          <s:t>Autopilot UX</s:t>
        </s:is>
      </s:c>
      <s:c r="D183" s="12" t="inlineStr">
        <s:is>
          <s:t>Build transparent autopilot configuration/control surface</s:t>
        </s:is>
      </s:c>
      <s:c r="E183" s="13" t="inlineStr">
        <s:is>
          <s:t>Show what AI may publish, frequency, quiet hours, budget, excluded topics, pause switch and recent auto decisions.</s:t>
        </s:is>
      </s:c>
      <s:c r="F183" s="13" t="inlineStr">
        <s:is>
          <s:t>Default off; enable flow explains scope; one-click pause immediate server state; history understandable.</s:t>
        </s:is>
      </s:c>
      <s:c r="G183" s="18" t="inlineStr">
        <s:is>
          <s:t>S10-A02</s:t>
        </s:is>
      </s:c>
      <s:c r="H183" s="18" t="inlineStr">
        <s:is>
          <s:t>P2</s:t>
        </s:is>
      </s:c>
      <s:c r="I183" s="18" t="inlineStr">
        <s:is>
          <s:t>Programmer B</s:t>
        </s:is>
      </s:c>
      <s:c r="J183" s="18" t="inlineStr">
        <s:is>
          <s:t>Programmer A</s:t>
        </s:is>
      </s:c>
      <s:c r="K183" s="18" t="n">
        <s:v>8</s:v>
      </s:c>
      <s:c r="L183" s="32" t="inlineStr">
        <s:is>
          <s:t>Deferred</s:t>
        </s:is>
      </s:c>
      <s:c r="M183" s="13" t="inlineStr">
        <s:is>
          <s:t>E2E + safety review</s:t>
        </s:is>
      </s:c>
      <s:c r="N183" s="18" t="inlineStr">
        <s:is>
          <s:t>RG-16</s:t>
        </s:is>
      </s:c>
      <s:c r="O183" s="13" t="inlineStr">
        <s:is>
          <s:t>No deceptive “fully autonomous” claims.</s:t>
        </s:is>
      </s:c>
      <s:c r="P183" s="18" t="inlineStr">
        <s:is>
          <s:t>autopilot settings</s:t>
        </s:is>
      </s:c>
      <s:c r="Q183" s="14">
        <s:f>INDEX('01_ROADMAP'!$C$5:$C$15,MATCH(B183,'01_ROADMAP'!$A$5:$A$15,0))</s:f>
        <s:v>46412.0</s:v>
      </s:c>
      <s:c r="R183" s="14">
        <s:f>INDEX('01_ROADMAP'!$D$5:$D$15,MATCH(B183,'01_ROADMAP'!$A$5:$A$15,0))</s:f>
        <s:v>46425.0</s:v>
      </s:c>
      <s:c r="S183" s="29" t="inlineStr">
        <s:is>
          <s:t>docs/backlog-deep-audit-2026-09-07.json#S10-B02</s:t>
        </s:is>
      </s:c>
      <s:c r="T183" s="13" t="inlineStr">
        <s:is>
          <s:t>FRONTEND</s:t>
        </s:is>
      </s:c>
      <s:c r="U183" s="13" t="inlineStr">
        <s:is>
          <s:t>Strategy</s:t>
        </s:is>
      </s:c>
      <s:c r="V183" s="13" t="inlineStr">
        <s:is>
          <s:t>Growth</s:t>
        </s:is>
      </s:c>
      <s:c r="W183" s="13" t="inlineStr">
        <s:is>
          <s:t>Form/Switch/Timeline/Alert.</s:t>
        </s:is>
      </s:c>
      <s:c r="X183" s="13" t="inlineStr">
        <s:is>
          <s:t>E2E + safety review</s:t>
        </s:is>
      </s:c>
      <s:c r="Y183" s="59" t="inlineStr">
        <s:is>
          <s:t>Shtyrë</s:t>
        </s:is>
      </s:c>
      <s:c r="Z183" s="55" t="inlineStr">
        <s:is>
          <s:t>Autopilot që vendos vetë për postime nuk është implementuar dhe mbetet pas-GA.</s:t>
        </s:is>
      </s:c>
      <s:c r="AA183" s="55" t="inlineStr">
        <s:is>
          <s:t>1. Pas autopilot API: konfigurim default off që shpjegon çfarë lejohet, kufijtë/buxhetin/oraret dhe history; pause duhet të ruhet menjëherë në server.</s:t>
        </s:is>
      </s:c>
      <s:c r="AB183" s="55" t="inlineStr">
        <s:is>
          <s:t>Prova e kërkuar nga backlog-u: E2E + safety review
Kriteri për t'u verifikuar (nuk deklarohet i kaluar): Default off; enable flow explains scope; one-click pause immediate server state; history understandable.
Pranimi kërkon edhe gate-et: RG-16. Asnjë gate nuk është shënuar Passed nga ky audit.</s:t>
        </s:is>
      </s:c>
      <s:c r="AC183" s="55" t="inlineStr">
        <s:is>
          <s:t>Shtyrë sipas scope-it; nuk është realizuar. Kriteret dhe hapat e këtij rreshti vlejnë kur moduli të rikthehet në scope.</s:t>
        </s:is>
      </s:c>
      <s:c r="AD183" s="55" t="inlineStr">
        <s:is>
          <s:t>Nuk u gjet implementim specifik; shiko kriterin dhe hapat në AA/AB.</s:t>
        </s:is>
      </s:c>
      <s:c r="AE183" s="42" t="inlineStr">
        <s:is>
          <s:t>Shtyrë nga scope-i aktual</s:t>
        </s:is>
      </s:c>
      <s:c r="AF183" s="42" t="inlineStr">
        <s:is>
          <s:t>Jo në scope-in posts-only</s:t>
        </s:is>
      </s:c>
      <s:c r="AG183" s="42" t="inlineStr">
        <s:is>
          <s:t>Jo tani</s:t>
        </s:is>
      </s:c>
      <s:c r="AH183" s="42" t="inlineStr">
        <s:is>
          <s:t>Pas autopilot API: konfigurim default off që shpjegon çfarë lejohet, kufijtë/buxhetin/oraret dhe history; pause duhet të ruhet menjëherë në server.</s:t>
        </s:is>
      </s:c>
      <s:c r="AI183" s="42" t="inlineStr">
        <s:is>
          <s:t>docs/backlog-code-handoff-2026-09-08.json#S10-B02</s:t>
        </s:is>
      </s:c>
      <s:c r="AJ183" s="42" t="inlineStr">
        <s:is>
          <s:t>Programmer B / review: Programmer A</s:t>
        </s:is>
      </s:c>
    </s:row>
    <s:row r="184" ht="155.1" customHeight="1" s="48">
      <s:c r="A184" s="17" t="inlineStr">
        <s:is>
          <s:t>S10-A03</s:t>
        </s:is>
      </s:c>
      <s:c r="B184" s="18" t="inlineStr">
        <s:is>
          <s:t>S10</s:t>
        </s:is>
      </s:c>
      <s:c r="C184" s="18" t="inlineStr">
        <s:is>
          <s:t>Localization</s:t>
        </s:is>
      </s:c>
      <s:c r="D184" s="12" t="inlineStr">
        <s:is>
          <s:t>Implement locale-aware content planning/translation contracts</s:t>
        </s:is>
      </s:c>
      <s:c r="E184" s="13" t="inlineStr">
        <s:is>
          <s:t>Store brand language preferences, source/target locale, translation provenance and locale-specific policy; avoid raw translation overwrite of source version.</s:t>
        </s:is>
      </s:c>
      <s:c r="F184" s="13" t="inlineStr">
        <s:is>
          <s:t>Each localized version traceable; locale fallback deterministic; unsupported locale returns explicit error.</s:t>
        </s:is>
      </s:c>
      <s:c r="G184" s="18" t="inlineStr">
        <s:is>
          <s:t>S3-A07,S6-A10</s:t>
        </s:is>
      </s:c>
      <s:c r="H184" s="18" t="inlineStr">
        <s:is>
          <s:t>P1</s:t>
        </s:is>
      </s:c>
      <s:c r="I184" s="18" t="inlineStr">
        <s:is>
          <s:t>Programmer A</s:t>
        </s:is>
      </s:c>
      <s:c r="J184" s="18" t="inlineStr">
        <s:is>
          <s:t>Programmer B</s:t>
        </s:is>
      </s:c>
      <s:c r="K184" s="18" t="n">
        <s:v>7</s:v>
      </s:c>
      <s:c r="L184" s="32" t="inlineStr">
        <s:is>
          <s:t>Deferred</s:t>
        </s:is>
      </s:c>
      <s:c r="M184" s="13" t="inlineStr">
        <s:is>
          <s:t>Contract + multilingual eval</s:t>
        </s:is>
      </s:c>
      <s:c r="N184" s="18" t="inlineStr">
        <s:is>
          <s:t>Post-GA</s:t>
        </s:is>
      </s:c>
      <s:c r="O184" s="13" t="inlineStr">
        <s:is>
          <s:t>Sensitive claims re-run policy in target locale.</s:t>
        </s:is>
      </s:c>
      <s:c r="P184" s="18" t="inlineStr">
        <s:is>
          <s:t>localized content contracts</s:t>
        </s:is>
      </s:c>
      <s:c r="Q184" s="14">
        <s:f>INDEX('01_ROADMAP'!$C$5:$C$15,MATCH(B184,'01_ROADMAP'!$A$5:$A$15,0))</s:f>
        <s:v>46412.0</s:v>
      </s:c>
      <s:c r="R184" s="14">
        <s:f>INDEX('01_ROADMAP'!$D$5:$D$15,MATCH(B184,'01_ROADMAP'!$A$5:$A$15,0))</s:f>
        <s:v>46425.0</s:v>
      </s:c>
      <s:c r="S184" s="29" t="inlineStr">
        <s:is>
          <s:t>docs/backlog-deep-audit-2026-09-07.json#S10-A03</s:t>
        </s:is>
      </s:c>
      <s:c r="T184" s="13" t="inlineStr">
        <s:is>
          <s:t>AI/BACKEND</s:t>
        </s:is>
      </s:c>
      <s:c r="U184" s="13" t="inlineStr">
        <s:is>
          <s:t>Content Studio</s:t>
        </s:is>
      </s:c>
      <s:c r="V184" s="13" t="inlineStr">
        <s:is>
          <s:t>Growth</s:t>
        </s:is>
      </s:c>
      <s:c r="W184" s="13" t="inlineStr">
        <s:is>
          <s:t>UI supports language variants.</s:t>
        </s:is>
      </s:c>
      <s:c r="X184" s="13" t="inlineStr">
        <s:is>
          <s:t>Contract + multilingual eval</s:t>
        </s:is>
      </s:c>
      <s:c r="Y184" s="59" t="inlineStr">
        <s:is>
          <s:t>Shtyrë</s:t>
        </s:is>
      </s:c>
      <s:c r="Z184" s="56" t="inlineStr">
        <s:is>
          <s:t>Ndërfaqja aktuale është shqip me EUR dhe timezone lokal; app/content locale switching është pas-GA.</s:t>
        </s:is>
      </s:c>
      <s:c r="AA184" s="56" t="inlineStr">
        <s:is>
          <s:t>1. Pas rikthimit të i18n: kontratë për source/target locale, defaults të biznesit, translation provenance dhe locale policy; fallback determinist dhe version i veçantë pa overwrite të burimit.</s:t>
        </s:is>
      </s:c>
      <s:c r="AB184" s="56" t="inlineStr">
        <s:is>
          <s:t>Prova e kërkuar nga backlog-u: Contract + multilingual eval
Kriteri për t'u verifikuar (nuk deklarohet i kaluar): Each localized version traceable; locale fallback deterministic; unsupported locale returns explicit error.
Pranimi kërkon edhe gate-et: Post-GA. Asnjë gate nuk është shënuar Passed nga ky audit.</s:t>
        </s:is>
      </s:c>
      <s:c r="AC184" s="56" t="inlineStr">
        <s:is>
          <s:t>Shtyrë sipas scope-it; nuk është realizuar. Kriteret dhe hapat e këtij rreshti vlejnë kur moduli të rikthehet në scope.</s:t>
        </s:is>
      </s:c>
      <s:c r="AD184" s="56" t="inlineStr">
        <s:is>
          <s:t>Nuk u gjet implementim specifik; shiko kriterin dhe hapat në AA/AB.</s:t>
        </s:is>
      </s:c>
      <s:c r="AE184" s="42" t="inlineStr">
        <s:is>
          <s:t>Shtyrë nga scope-i aktual</s:t>
        </s:is>
      </s:c>
      <s:c r="AF184" s="42" t="inlineStr">
        <s:is>
          <s:t>Jo në scope-in posts-only</s:t>
        </s:is>
      </s:c>
      <s:c r="AG184" s="42" t="inlineStr">
        <s:is>
          <s:t>Jo tani</s:t>
        </s:is>
      </s:c>
      <s:c r="AH184" s="42" t="inlineStr">
        <s:is>
          <s:t>Pas rikthimit të i18n: kontratë për source/target locale, defaults të biznesit, translation provenance dhe locale policy; fallback determinist dhe version i veçantë pa overwrite të burimit.</s:t>
        </s:is>
      </s:c>
      <s:c r="AI184" s="42" t="inlineStr">
        <s:is>
          <s:t>docs/backlog-code-handoff-2026-09-08.json#S10-A03</s:t>
        </s:is>
      </s:c>
      <s:c r="AJ184" s="42" t="inlineStr">
        <s:is>
          <s:t>Programmer A / review: Programmer B</s:t>
        </s:is>
      </s:c>
    </s:row>
    <s:row r="185" ht="155.1" customHeight="1" s="48">
      <s:c r="A185" s="17" t="inlineStr">
        <s:is>
          <s:t>S10-B03</s:t>
        </s:is>
      </s:c>
      <s:c r="B185" s="18" t="inlineStr">
        <s:is>
          <s:t>S10</s:t>
        </s:is>
      </s:c>
      <s:c r="C185" s="18" t="inlineStr">
        <s:is>
          <s:t>Localization UX</s:t>
        </s:is>
      </s:c>
      <s:c r="D185" s="12" t="inlineStr">
        <s:is>
          <s:t>Add Albanian/English first-class app/content language workflows</s:t>
        </s:is>
      </s:c>
      <s:c r="E185" s="13" t="inlineStr">
        <s:is>
          <s:t>Implement app locale switching and content language variants; preserve per-brand defaults and show source/translated status.</s:t>
        </s:is>
      </s:c>
      <s:c r="F185" s="13" t="inlineStr">
        <s:is>
          <s:t>No route/state loss on locale switch; generated translation never silently replaces source; accessibility labels translated.</s:t>
        </s:is>
      </s:c>
      <s:c r="G185" s="18" t="inlineStr">
        <s:is>
          <s:t>S10-A03</s:t>
        </s:is>
      </s:c>
      <s:c r="H185" s="18" t="inlineStr">
        <s:is>
          <s:t>P1</s:t>
        </s:is>
      </s:c>
      <s:c r="I185" s="18" t="inlineStr">
        <s:is>
          <s:t>Programmer B</s:t>
        </s:is>
      </s:c>
      <s:c r="J185" s="18" t="inlineStr">
        <s:is>
          <s:t>Programmer A</s:t>
        </s:is>
      </s:c>
      <s:c r="K185" s="18" t="n">
        <s:v>8</s:v>
      </s:c>
      <s:c r="L185" s="32" t="inlineStr">
        <s:is>
          <s:t>Deferred</s:t>
        </s:is>
      </s:c>
      <s:c r="M185" s="13" t="inlineStr">
        <s:is>
          <s:t>E2E locale fixtures</s:t>
        </s:is>
      </s:c>
      <s:c r="N185" s="18" t="inlineStr">
        <s:is>
          <s:t>Post-GA</s:t>
        </s:is>
      </s:c>
      <s:c r="O185" s="13" t="inlineStr">
        <s:is>
          <s:t>No untranslated security/legal critical label in enabled locale.</s:t>
        </s:is>
      </s:c>
      <s:c r="P185" s="18" t="inlineStr">
        <s:is>
          <s:t>i18n/content locale UX</s:t>
        </s:is>
      </s:c>
      <s:c r="Q185" s="14">
        <s:f>INDEX('01_ROADMAP'!$C$5:$C$15,MATCH(B185,'01_ROADMAP'!$A$5:$A$15,0))</s:f>
        <s:v>46412.0</s:v>
      </s:c>
      <s:c r="R185" s="14">
        <s:f>INDEX('01_ROADMAP'!$D$5:$D$15,MATCH(B185,'01_ROADMAP'!$A$5:$A$15,0))</s:f>
        <s:v>46425.0</s:v>
      </s:c>
      <s:c r="S185" s="29" t="inlineStr">
        <s:is>
          <s:t>docs/backlog-deep-audit-2026-09-07.json#S10-B03</s:t>
        </s:is>
      </s:c>
      <s:c r="T185" s="13" t="inlineStr">
        <s:is>
          <s:t>FRONTEND</s:t>
        </s:is>
      </s:c>
      <s:c r="U185" s="13" t="inlineStr">
        <s:is>
          <s:t>Global</s:t>
        </s:is>
      </s:c>
      <s:c r="V185" s="13" t="inlineStr">
        <s:is>
          <s:t>Growth</s:t>
        </s:is>
      </s:c>
      <s:c r="W185" s="13" t="inlineStr">
        <s:is>
          <s:t>LocaleSelect + variant tabs.</s:t>
        </s:is>
      </s:c>
      <s:c r="X185" s="13" t="inlineStr">
        <s:is>
          <s:t>E2E locale fixtures</s:t>
        </s:is>
      </s:c>
      <s:c r="Y185" s="59" t="inlineStr">
        <s:is>
          <s:t>Shtyrë</s:t>
        </s:is>
      </s:c>
      <s:c r="Z185" s="55" t="inlineStr">
        <s:is>
          <s:t>Ndërfaqja aktuale është shqip me EUR dhe timezone lokal; app/content locale switching është pas-GA.</s:t>
        </s:is>
      </s:c>
      <s:c r="AA185" s="55" t="inlineStr">
        <s:is>
          <s:t>1. Pas locale contracts: app locale switch sq/en dhe variante gjuhe për content; ruaj route/state, defaults të biznesit dhe përkthim të labels aksesues.</s:t>
        </s:is>
      </s:c>
      <s:c r="AB185" s="55" t="inlineStr">
        <s:is>
          <s:t>Prova e kërkuar nga backlog-u: E2E locale fixtures
Kriteri për t'u verifikuar (nuk deklarohet i kaluar): No route/state loss on locale switch; generated translation never silently replaces source; accessibility labels translated.
Pranimi kërkon edhe gate-et: Post-GA. Asnjë gate nuk është shënuar Passed nga ky audit.</s:t>
        </s:is>
      </s:c>
      <s:c r="AC185" s="55" t="inlineStr">
        <s:is>
          <s:t>Shtyrë sipas scope-it; nuk është realizuar. Kriteret dhe hapat e këtij rreshti vlejnë kur moduli të rikthehet në scope.</s:t>
        </s:is>
      </s:c>
      <s:c r="AD185" s="55" t="inlineStr">
        <s:is>
          <s:t>Nuk u gjet implementim specifik; shiko kriterin dhe hapat në AA/AB.</s:t>
        </s:is>
      </s:c>
      <s:c r="AE185" s="42" t="inlineStr">
        <s:is>
          <s:t>Shtyrë nga scope-i aktual</s:t>
        </s:is>
      </s:c>
      <s:c r="AF185" s="42" t="inlineStr">
        <s:is>
          <s:t>Jo në scope-in posts-only</s:t>
        </s:is>
      </s:c>
      <s:c r="AG185" s="42" t="inlineStr">
        <s:is>
          <s:t>Jo tani</s:t>
        </s:is>
      </s:c>
      <s:c r="AH185" s="42" t="inlineStr">
        <s:is>
          <s:t>Pas locale contracts: app locale switch sq/en dhe variante gjuhe për content; ruaj route/state, defaults të biznesit dhe përkthim të labels aksesues.</s:t>
        </s:is>
      </s:c>
      <s:c r="AI185" s="42" t="inlineStr">
        <s:is>
          <s:t>docs/backlog-code-handoff-2026-09-08.json#S10-B03</s:t>
        </s:is>
      </s:c>
      <s:c r="AJ185" s="42" t="inlineStr">
        <s:is>
          <s:t>Programmer B / review: Programmer A</s:t>
        </s:is>
      </s:c>
    </s:row>
    <s:row r="186" ht="155.1" customHeight="1" s="48">
      <s:c r="A186" s="17" t="inlineStr">
        <s:is>
          <s:t>S10-A04</s:t>
        </s:is>
      </s:c>
      <s:c r="B186" s="18" t="inlineStr">
        <s:is>
          <s:t>S10</s:t>
        </s:is>
      </s:c>
      <s:c r="C186" s="18" t="inlineStr">
        <s:is>
          <s:t>Reporting</s:t>
        </s:is>
      </s:c>
      <s:c r="D186" s="12" t="inlineStr">
        <s:is>
          <s:t>Create agency/client scheduled report data package</s:t>
        </s:is>
      </s:c>
      <s:c r="E186" s="13" t="inlineStr">
        <s:is>
          <s:t>Build reproducible weekly/monthly report snapshot with metrics, published content, learnings, campaign summary and data definitions; export job async.</s:t>
        </s:is>
      </s:c>
      <s:c r="F186" s="13" t="inlineStr">
        <s:is>
          <s:t>Report numbers reconcile with analytics API; snapshot immutable; missing data labeled.</s:t>
        </s:is>
      </s:c>
      <s:c r="G186" s="18" t="inlineStr">
        <s:is>
          <s:t>S7-A10,S7-A01,S9-A04</s:t>
        </s:is>
      </s:c>
      <s:c r="H186" s="18" t="inlineStr">
        <s:is>
          <s:t>P2</s:t>
        </s:is>
      </s:c>
      <s:c r="I186" s="18" t="inlineStr">
        <s:is>
          <s:t>Programmer A</s:t>
        </s:is>
      </s:c>
      <s:c r="J186" s="18" t="inlineStr">
        <s:is>
          <s:t>Programmer B</s:t>
        </s:is>
      </s:c>
      <s:c r="K186" s="18" t="n">
        <s:v>7</s:v>
      </s:c>
      <s:c r="L186" s="32" t="inlineStr">
        <s:is>
          <s:t>Deferred</s:t>
        </s:is>
      </s:c>
      <s:c r="M186" s="13" t="inlineStr">
        <s:is>
          <s:t>Snapshot reconciliation tests</s:t>
        </s:is>
      </s:c>
      <s:c r="N186" s="18" t="inlineStr">
        <s:is>
          <s:t>Post-GA</s:t>
        </s:is>
      </s:c>
      <s:c r="O186" s="13" t="inlineStr">
        <s:is>
          <s:t>No cross-brand leakage; export authorization enforced.</s:t>
        </s:is>
      </s:c>
      <s:c r="P186" s="18" t="inlineStr">
        <s:is>
          <s:t>report snapshot service</s:t>
        </s:is>
      </s:c>
      <s:c r="Q186" s="14">
        <s:f>INDEX('01_ROADMAP'!$C$5:$C$15,MATCH(B186,'01_ROADMAP'!$A$5:$A$15,0))</s:f>
        <s:v>46412.0</s:v>
      </s:c>
      <s:c r="R186" s="14">
        <s:f>INDEX('01_ROADMAP'!$D$5:$D$15,MATCH(B186,'01_ROADMAP'!$A$5:$A$15,0))</s:f>
        <s:v>46425.0</s:v>
      </s:c>
      <s:c r="S186" s="29" t="inlineStr">
        <s:is>
          <s:t>docs/backlog-deep-audit-2026-09-07.json#S10-A04</s:t>
        </s:is>
      </s:c>
      <s:c r="T186" s="13" t="inlineStr">
        <s:is>
          <s:t>BACKEND/ANALYTICS</s:t>
        </s:is>
      </s:c>
      <s:c r="U186" s="13" t="inlineStr">
        <s:is>
          <s:t>Analytics</s:t>
        </s:is>
      </s:c>
      <s:c r="V186" s="13" t="inlineStr">
        <s:is>
          <s:t>Growth</s:t>
        </s:is>
      </s:c>
      <s:c r="W186" s="13" t="inlineStr">
        <s:is>
          <s:t>UI/PDF/email delivery can consume package.</s:t>
        </s:is>
      </s:c>
      <s:c r="X186" s="13" t="inlineStr">
        <s:is>
          <s:t>Snapshot reconciliation tests</s:t>
        </s:is>
      </s:c>
      <s:c r="Y186" s="59" t="inlineStr">
        <s:is>
          <s:t>Shtyrë</s:t>
        </s:is>
      </s:c>
      <s:c r="Z186" s="56" t="inlineStr">
        <s:is>
          <s:t>Agency/client reports dhe scheduled exports janë jashtë scope-it aktiv.</s:t>
        </s:is>
      </s:c>
      <s:c r="AA186" s="56" t="inlineStr">
        <s:is>
          <s:t>1. Pas analytics/learning: report snapshot javor/mujor immutable me metrics/content/learnings/definitions, async export dhe reconciliation me analytics API.</s:t>
        </s:is>
      </s:c>
      <s:c r="AB186" s="56" t="inlineStr">
        <s:is>
          <s:t>Prova e kërkuar nga backlog-u: Snapshot reconciliation tests
Kriteri për t'u verifikuar (nuk deklarohet i kaluar): Report numbers reconcile with analytics API; snapshot immutable; missing data labeled.
Pranimi kërkon edhe gate-et: Post-GA. Asnjë gate nuk është shënuar Passed nga ky audit.</s:t>
        </s:is>
      </s:c>
      <s:c r="AC186" s="56" t="inlineStr">
        <s:is>
          <s:t>Shtyrë sipas scope-it; nuk është realizuar. Kriteret dhe hapat e këtij rreshti vlejnë kur moduli të rikthehet në scope.</s:t>
        </s:is>
      </s:c>
      <s:c r="AD186" s="56" t="inlineStr">
        <s:is>
          <s:t>Nuk u gjet implementim specifik; shiko kriterin dhe hapat në AA/AB.</s:t>
        </s:is>
      </s:c>
      <s:c r="AE186" s="42" t="inlineStr">
        <s:is>
          <s:t>Shtyrë nga scope-i aktual</s:t>
        </s:is>
      </s:c>
      <s:c r="AF186" s="42" t="inlineStr">
        <s:is>
          <s:t>Jo në scope-in posts-only</s:t>
        </s:is>
      </s:c>
      <s:c r="AG186" s="42" t="inlineStr">
        <s:is>
          <s:t>Jo tani</s:t>
        </s:is>
      </s:c>
      <s:c r="AH186" s="42" t="inlineStr">
        <s:is>
          <s:t>Pas analytics/learning: report snapshot javor/mujor immutable me metrics/content/learnings/definitions, async export dhe reconciliation me analytics API.</s:t>
        </s:is>
      </s:c>
      <s:c r="AI186" s="42" t="inlineStr">
        <s:is>
          <s:t>docs/backlog-code-handoff-2026-09-08.json#S10-A04</s:t>
        </s:is>
      </s:c>
      <s:c r="AJ186" s="42" t="inlineStr">
        <s:is>
          <s:t>Programmer A / review: Programmer B</s:t>
        </s:is>
      </s:c>
    </s:row>
    <s:row r="187" ht="155.1" customHeight="1" s="48">
      <s:c r="A187" s="17" t="inlineStr">
        <s:is>
          <s:t>S10-B04</s:t>
        </s:is>
      </s:c>
      <s:c r="B187" s="18" t="inlineStr">
        <s:is>
          <s:t>S10</s:t>
        </s:is>
      </s:c>
      <s:c r="C187" s="18" t="inlineStr">
        <s:is>
          <s:t>Reporting UX</s:t>
        </s:is>
      </s:c>
      <s:c r="D187" s="12" t="inlineStr">
        <s:is>
          <s:t>Build client-friendly report viewer/export controls</s:t>
        </s:is>
      </s:c>
      <s:c r="E187" s="13" t="inlineStr">
        <s:is>
          <s:t>Create branded report page with date/campaign filters, plain-language learnings, metric definitions and export request/status.</s:t>
        </s:is>
      </s:c>
      <s:c r="F187" s="13" t="inlineStr">
        <s:is>
          <s:t>Viewer responsive; export status reliable; no misleading zero/unavailable; print view clean.</s:t>
        </s:is>
      </s:c>
      <s:c r="G187" s="18" t="inlineStr">
        <s:is>
          <s:t>S10-A04</s:t>
        </s:is>
      </s:c>
      <s:c r="H187" s="18" t="inlineStr">
        <s:is>
          <s:t>P2</s:t>
        </s:is>
      </s:c>
      <s:c r="I187" s="18" t="inlineStr">
        <s:is>
          <s:t>Programmer B</s:t>
        </s:is>
      </s:c>
      <s:c r="J187" s="18" t="inlineStr">
        <s:is>
          <s:t>Programmer A</s:t>
        </s:is>
      </s:c>
      <s:c r="K187" s="18" t="n">
        <s:v>8</s:v>
      </s:c>
      <s:c r="L187" s="32" t="inlineStr">
        <s:is>
          <s:t>Deferred</s:t>
        </s:is>
      </s:c>
      <s:c r="M187" s="13" t="inlineStr">
        <s:is>
          <s:t>E2E + print/visual</s:t>
        </s:is>
      </s:c>
      <s:c r="N187" s="18" t="inlineStr">
        <s:is>
          <s:t>Post-GA</s:t>
        </s:is>
      </s:c>
      <s:c r="O187" s="13" t="inlineStr">
        <s:is>
          <s:t>Tenant/brand scope enforced by API.</s:t>
        </s:is>
      </s:c>
      <s:c r="P187" s="18" t="inlineStr">
        <s:is>
          <s:t>report viewer</s:t>
        </s:is>
      </s:c>
      <s:c r="Q187" s="14">
        <s:f>INDEX('01_ROADMAP'!$C$5:$C$15,MATCH(B187,'01_ROADMAP'!$A$5:$A$15,0))</s:f>
        <s:v>46412.0</s:v>
      </s:c>
      <s:c r="R187" s="14">
        <s:f>INDEX('01_ROADMAP'!$D$5:$D$15,MATCH(B187,'01_ROADMAP'!$A$5:$A$15,0))</s:f>
        <s:v>46425.0</s:v>
      </s:c>
      <s:c r="S187" s="29" t="inlineStr">
        <s:is>
          <s:t>docs/backlog-deep-audit-2026-09-07.json#S10-B04</s:t>
        </s:is>
      </s:c>
      <s:c r="T187" s="13" t="inlineStr">
        <s:is>
          <s:t>FRONTEND</s:t>
        </s:is>
      </s:c>
      <s:c r="U187" s="13" t="inlineStr">
        <s:is>
          <s:t>Analytics</s:t>
        </s:is>
      </s:c>
      <s:c r="V187" s="13" t="inlineStr">
        <s:is>
          <s:t>Growth</s:t>
        </s:is>
      </s:c>
      <s:c r="W187" s="13" t="inlineStr">
        <s:is>
          <s:t>PageSection/Card/Table/Timeline.</s:t>
        </s:is>
      </s:c>
      <s:c r="X187" s="13" t="inlineStr">
        <s:is>
          <s:t>E2E + print/visual</s:t>
        </s:is>
      </s:c>
      <s:c r="Y187" s="59" t="inlineStr">
        <s:is>
          <s:t>Shtyrë</s:t>
        </s:is>
      </s:c>
      <s:c r="Z187" s="55" t="inlineStr">
        <s:is>
          <s:t>Agency/client reports dhe scheduled exports janë jashtë scope-it aktiv.</s:t>
        </s:is>
      </s:c>
      <s:c r="AA187" s="55" t="inlineStr">
        <s:is>
          <s:t>1. Pas report API: viewer me brand/date/campaign filters, shpjegime të thjeshta dhe export progress/retry; responsive/print dhe dallim unavailable nga zero.</s:t>
        </s:is>
      </s:c>
      <s:c r="AB187" s="55" t="inlineStr">
        <s:is>
          <s:t>Prova e kërkuar nga backlog-u: E2E + print/visual
Kriteri për t'u verifikuar (nuk deklarohet i kaluar): Viewer responsive; export status reliable; no misleading zero/unavailable; print view clean.
Pranimi kërkon edhe gate-et: Post-GA. Asnjë gate nuk është shënuar Passed nga ky audit.</s:t>
        </s:is>
      </s:c>
      <s:c r="AC187" s="55" t="inlineStr">
        <s:is>
          <s:t>Shtyrë sipas scope-it; nuk është realizuar. Kriteret dhe hapat e këtij rreshti vlejnë kur moduli të rikthehet në scope.</s:t>
        </s:is>
      </s:c>
      <s:c r="AD187" s="55" t="inlineStr">
        <s:is>
          <s:t>Nuk u gjet implementim specifik; shiko kriterin dhe hapat në AA/AB.</s:t>
        </s:is>
      </s:c>
      <s:c r="AE187" s="42" t="inlineStr">
        <s:is>
          <s:t>Shtyrë nga scope-i aktual</s:t>
        </s:is>
      </s:c>
      <s:c r="AF187" s="42" t="inlineStr">
        <s:is>
          <s:t>Jo në scope-in posts-only</s:t>
        </s:is>
      </s:c>
      <s:c r="AG187" s="42" t="inlineStr">
        <s:is>
          <s:t>Jo tani</s:t>
        </s:is>
      </s:c>
      <s:c r="AH187" s="42" t="inlineStr">
        <s:is>
          <s:t>Pas report API: viewer me brand/date/campaign filters, shpjegime të thjeshta dhe export progress/retry; responsive/print dhe dallim unavailable nga zero.</s:t>
        </s:is>
      </s:c>
      <s:c r="AI187" s="42" t="inlineStr">
        <s:is>
          <s:t>docs/backlog-code-handoff-2026-09-08.json#S10-B04</s:t>
        </s:is>
      </s:c>
      <s:c r="AJ187" s="42" t="inlineStr">
        <s:is>
          <s:t>Programmer B / review: Programmer A</s:t>
        </s:is>
      </s:c>
    </s:row>
    <s:row r="188" ht="155.1" customHeight="1" s="48">
      <s:c r="A188" s="17" t="inlineStr">
        <s:is>
          <s:t>S10-A05</s:t>
        </s:is>
      </s:c>
      <s:c r="B188" s="18" t="inlineStr">
        <s:is>
          <s:t>S10</s:t>
        </s:is>
      </s:c>
      <s:c r="C188" s="18" t="inlineStr">
        <s:is>
          <s:t>Recommendations</s:t>
        </s:is>
      </s:c>
      <s:c r="D188" s="12" t="inlineStr">
        <s:is>
          <s:t>Add recommendation ranking and fatigue suppression</s:t>
        </s:is>
      </s:c>
      <s:c r="E188" s="13" t="inlineStr">
        <s:is>
          <s:t>Rank next actions by urgency/impact/confidence and suppress repeated/rejected suggestions; store user feedback as preference signal, not fact.</s:t>
        </s:is>
      </s:c>
      <s:c r="F188" s="13" t="inlineStr">
        <s:is>
          <s:t>Max configured recommendations; rejected suggestion does not immediately recur without new evidence; reason available.</s:t>
        </s:is>
      </s:c>
      <s:c r="G188" s="18" t="inlineStr">
        <s:is>
          <s:t>S7-A01,S6-A10</s:t>
        </s:is>
      </s:c>
      <s:c r="H188" s="18" t="inlineStr">
        <s:is>
          <s:t>P2</s:t>
        </s:is>
      </s:c>
      <s:c r="I188" s="18" t="inlineStr">
        <s:is>
          <s:t>Programmer A</s:t>
        </s:is>
      </s:c>
      <s:c r="J188" s="18" t="inlineStr">
        <s:is>
          <s:t>Programmer B</s:t>
        </s:is>
      </s:c>
      <s:c r="K188" s="18" t="n">
        <s:v>6</s:v>
      </s:c>
      <s:c r="L188" s="32" t="inlineStr">
        <s:is>
          <s:t>Deferred</s:t>
        </s:is>
      </s:c>
      <s:c r="M188" s="13" t="inlineStr">
        <s:is>
          <s:t>Replay/eval</s:t>
        </s:is>
      </s:c>
      <s:c r="N188" s="18" t="inlineStr">
        <s:is>
          <s:t>Post-GA</s:t>
        </s:is>
      </s:c>
      <s:c r="O188" s="13" t="inlineStr">
        <s:is>
          <s:t>No manipulative urgency; no sensitive profiling.</s:t>
        </s:is>
      </s:c>
      <s:c r="P188" s="18" t="inlineStr">
        <s:is>
          <s:t>recommendation ranker</s:t>
        </s:is>
      </s:c>
      <s:c r="Q188" s="14">
        <s:f>INDEX('01_ROADMAP'!$C$5:$C$15,MATCH(B188,'01_ROADMAP'!$A$5:$A$15,0))</s:f>
        <s:v>46412.0</s:v>
      </s:c>
      <s:c r="R188" s="14">
        <s:f>INDEX('01_ROADMAP'!$D$5:$D$15,MATCH(B188,'01_ROADMAP'!$A$5:$A$15,0))</s:f>
        <s:v>46425.0</s:v>
      </s:c>
      <s:c r="S188" s="29" t="inlineStr">
        <s:is>
          <s:t>docs/backlog-deep-audit-2026-09-07.json#S10-A05</s:t>
        </s:is>
      </s:c>
      <s:c r="T188" s="13" t="inlineStr">
        <s:is>
          <s:t>AI</s:t>
        </s:is>
      </s:c>
      <s:c r="U188" s="13" t="inlineStr">
        <s:is>
          <s:t>Dashboard</s:t>
        </s:is>
      </s:c>
      <s:c r="V188" s="13" t="inlineStr">
        <s:is>
          <s:t>Growth</s:t>
        </s:is>
      </s:c>
      <s:c r="W188" s="13" t="inlineStr">
        <s:is>
          <s:t>Marketing HQ consumes ranked actions.</s:t>
        </s:is>
      </s:c>
      <s:c r="X188" s="13" t="inlineStr">
        <s:is>
          <s:t>Replay/eval</s:t>
        </s:is>
      </s:c>
      <s:c r="Y188" s="59" t="inlineStr">
        <s:is>
          <s:t>Shtyrë</s:t>
        </s:is>
      </s:c>
      <s:c r="Z188" s="56" t="inlineStr">
        <s:is>
          <s:t>Overview ka next-actions të thjeshta nga gjendja; AI ranking/feedback/fatigue suppression mbetet S10.</s:t>
        </s:is>
      </s:c>
      <s:c r="AA188" s="56" t="inlineStr">
        <s:is>
          <s:t>1. Pas next-action domain: ranking urgency/impact/confidence, max recommendations dhe feedback/dismiss/later të ruajtur; preferenca nuk bëhet fakt, sugjerimi i refuzuar kërkon evidence të re për t'u kthyer.</s:t>
        </s:is>
      </s:c>
      <s:c r="AB188" s="56" t="inlineStr">
        <s:is>
          <s:t>Prova e kërkuar nga backlog-u: Replay/eval
Kriteri për t'u verifikuar (nuk deklarohet i kaluar): Max configured recommendations; rejected suggestion does not immediately recur without new evidence; reason available.
Pranimi kërkon edhe gate-et: Post-GA. Asnjë gate nuk është shënuar Passed nga ky audit.</s:t>
        </s:is>
      </s:c>
      <s:c r="AC188" s="56" t="inlineStr">
        <s:is>
          <s:t>Shtyrë sipas scope-it; nuk është realizuar. Kriteret dhe hapat e këtij rreshti vlejnë kur moduli të rikthehet në scope.</s:t>
        </s:is>
      </s:c>
      <s:c r="AD188" s="56" t="inlineStr">
        <s:is>
          <s:t>Nuk u gjet implementim specifik; shiko kriterin dhe hapat në AA/AB.</s:t>
        </s:is>
      </s:c>
      <s:c r="AE188" s="42" t="inlineStr">
        <s:is>
          <s:t>Shtyrë nga scope-i aktual</s:t>
        </s:is>
      </s:c>
      <s:c r="AF188" s="42" t="inlineStr">
        <s:is>
          <s:t>Jo në scope-in posts-only</s:t>
        </s:is>
      </s:c>
      <s:c r="AG188" s="42" t="inlineStr">
        <s:is>
          <s:t>Jo tani</s:t>
        </s:is>
      </s:c>
      <s:c r="AH188" s="42" t="inlineStr">
        <s:is>
          <s:t>Pas next-action domain: ranking urgency/impact/confidence, max recommendations dhe feedback/dismiss/later të ruajtur; preferenca nuk bëhet fakt, sugjerimi i refuzuar kërkon evidence të re për t'u kthyer.</s:t>
        </s:is>
      </s:c>
      <s:c r="AI188" s="42" t="inlineStr">
        <s:is>
          <s:t>docs/backlog-code-handoff-2026-09-08.json#S10-A05</s:t>
        </s:is>
      </s:c>
      <s:c r="AJ188" s="42" t="inlineStr">
        <s:is>
          <s:t>Programmer A / review: Programmer B</s:t>
        </s:is>
      </s:c>
    </s:row>
    <s:row r="189" ht="155.1" customHeight="1" s="48">
      <s:c r="A189" s="17" t="inlineStr">
        <s:is>
          <s:t>S10-B05</s:t>
        </s:is>
      </s:c>
      <s:c r="B189" s="18" t="inlineStr">
        <s:is>
          <s:t>S10</s:t>
        </s:is>
      </s:c>
      <s:c r="C189" s="18" t="inlineStr">
        <s:is>
          <s:t>Recommendation UX</s:t>
        </s:is>
      </s:c>
      <s:c r="D189" s="12" t="inlineStr">
        <s:is>
          <s:t>Polish AI next-actions with feedback controls</s:t>
        </s:is>
      </s:c>
      <s:c r="E189" s="13" t="inlineStr">
        <s:is>
          <s:t>Show 3-5 ranked actions, reason, expected benefit caveat, do/dismiss/later controls and links to artifact creation.</s:t>
        </s:is>
      </s:c>
      <s:c r="F189" s="13" t="inlineStr">
        <s:is>
          <s:t>No endless feed; dismiss works; action state survives refresh; screen reader announces updates.</s:t>
        </s:is>
      </s:c>
      <s:c r="G189" s="18" t="inlineStr">
        <s:is>
          <s:t>S10-A05,S6-B10</s:t>
        </s:is>
      </s:c>
      <s:c r="H189" s="18" t="inlineStr">
        <s:is>
          <s:t>P2</s:t>
        </s:is>
      </s:c>
      <s:c r="I189" s="18" t="inlineStr">
        <s:is>
          <s:t>Programmer B</s:t>
        </s:is>
      </s:c>
      <s:c r="J189" s="18" t="inlineStr">
        <s:is>
          <s:t>Programmer A</s:t>
        </s:is>
      </s:c>
      <s:c r="K189" s="18" t="n">
        <s:v>6</s:v>
      </s:c>
      <s:c r="L189" s="32" t="inlineStr">
        <s:is>
          <s:t>Deferred</s:t>
        </s:is>
      </s:c>
      <s:c r="M189" s="13" t="inlineStr">
        <s:is>
          <s:t>E2E + a11y</s:t>
        </s:is>
      </s:c>
      <s:c r="N189" s="18" t="inlineStr">
        <s:is>
          <s:t>Post-GA</s:t>
        </s:is>
      </s:c>
      <s:c r="O189" s="13" t="inlineStr">
        <s:is>
          <s:t>Do not overstate predicted performance.</s:t>
        </s:is>
      </s:c>
      <s:c r="P189" s="18" t="inlineStr">
        <s:is>
          <s:t>next-action UX</s:t>
        </s:is>
      </s:c>
      <s:c r="Q189" s="14">
        <s:f>INDEX('01_ROADMAP'!$C$5:$C$15,MATCH(B189,'01_ROADMAP'!$A$5:$A$15,0))</s:f>
        <s:v>46412.0</s:v>
      </s:c>
      <s:c r="R189" s="14">
        <s:f>INDEX('01_ROADMAP'!$D$5:$D$15,MATCH(B189,'01_ROADMAP'!$A$5:$A$15,0))</s:f>
        <s:v>46425.0</s:v>
      </s:c>
      <s:c r="S189" s="29" t="inlineStr">
        <s:is>
          <s:t>docs/backlog-deep-audit-2026-09-07.json#S10-B05</s:t>
        </s:is>
      </s:c>
      <s:c r="T189" s="13" t="inlineStr">
        <s:is>
          <s:t>FRONTEND</s:t>
        </s:is>
      </s:c>
      <s:c r="U189" s="13" t="inlineStr">
        <s:is>
          <s:t>Dashboard</s:t>
        </s:is>
      </s:c>
      <s:c r="V189" s="13" t="inlineStr">
        <s:is>
          <s:t>Growth</s:t>
        </s:is>
      </s:c>
      <s:c r="W189" s="13" t="inlineStr">
        <s:is>
          <s:t>Card/Badge/Dropdown/Toast.</s:t>
        </s:is>
      </s:c>
      <s:c r="X189" s="13" t="inlineStr">
        <s:is>
          <s:t>E2E + a11y</s:t>
        </s:is>
      </s:c>
      <s:c r="Y189" s="59" t="inlineStr">
        <s:is>
          <s:t>Shtyrë</s:t>
        </s:is>
      </s:c>
      <s:c r="Z189" s="55" t="inlineStr">
        <s:is>
          <s:t>Overview ka next-actions të thjeshta nga gjendja; AI ranking/feedback/fatigue suppression mbetet S10.</s:t>
        </s:is>
      </s:c>
      <s:c r="AA189" s="55" t="inlineStr">
        <s:is>
          <s:t>1. Pas ranking API: shfaq 3–5 veprime me arsye/benefit caveat dhe do/dismiss/later; ruaj gjendjen pas refresh, link tek artefakti dhe njoftim screen-reader.</s:t>
        </s:is>
      </s:c>
      <s:c r="AB189" s="55" t="inlineStr">
        <s:is>
          <s:t>Prova e kërkuar nga backlog-u: E2E + a11y
Kriteri për t'u verifikuar (nuk deklarohet i kaluar): No endless feed; dismiss works; action state survives refresh; screen reader announces updates.
Pranimi kërkon edhe gate-et: Post-GA. Asnjë gate nuk është shënuar Passed nga ky audit.</s:t>
        </s:is>
      </s:c>
      <s:c r="AC189" s="55" t="inlineStr">
        <s:is>
          <s:t>Shtyrë sipas scope-it; nuk është realizuar. Kriteret dhe hapat e këtij rreshti vlejnë kur moduli të rikthehet në scope.</s:t>
        </s:is>
      </s:c>
      <s:c r="AD189" s="55" t="inlineStr">
        <s:is>
          <s:t>Nuk u gjet implementim specifik; shiko kriterin dhe hapat në AA/AB.</s:t>
        </s:is>
      </s:c>
      <s:c r="AE189" s="42" t="inlineStr">
        <s:is>
          <s:t>Shtyrë nga scope-i aktual</s:t>
        </s:is>
      </s:c>
      <s:c r="AF189" s="42" t="inlineStr">
        <s:is>
          <s:t>Jo në scope-in posts-only</s:t>
        </s:is>
      </s:c>
      <s:c r="AG189" s="42" t="inlineStr">
        <s:is>
          <s:t>Jo tani</s:t>
        </s:is>
      </s:c>
      <s:c r="AH189" s="42" t="inlineStr">
        <s:is>
          <s:t>Pas ranking API: shfaq 3–5 veprime me arsye/benefit caveat dhe do/dismiss/later; ruaj gjendjen pas refresh, link tek artefakti dhe njoftim screen-reader.</s:t>
        </s:is>
      </s:c>
      <s:c r="AI189" s="42" t="inlineStr">
        <s:is>
          <s:t>docs/backlog-code-handoff-2026-09-08.json#S10-B05</s:t>
        </s:is>
      </s:c>
      <s:c r="AJ189" s="42" t="inlineStr">
        <s:is>
          <s:t>Programmer B / review: Programmer A</s:t>
        </s:is>
      </s:c>
    </s:row>
  </s:sheetData>
  <s:autoFilter ref="A4:AJ189"/>
  <s:mergeCells count="2">
    <s:mergeCell ref="A2:S2"/>
    <s:mergeCell ref="A1:S1"/>
  </s:mergeCells>
  <s:conditionalFormatting sqref="L5:L189">
    <s:cfRule type="expression" priority="5" dxfId="3">
      <s:formula>$L5="In Review"</s:formula>
    </s:cfRule>
    <s:cfRule type="expression" priority="6" dxfId="11">
      <s:formula>$L5="In Progress"</s:formula>
    </s:cfRule>
    <s:cfRule type="expression" priority="7" dxfId="10">
      <s:formula>$L5="Not Started"</s:formula>
    </s:cfRule>
    <s:cfRule type="expression" priority="8" dxfId="1">
      <s:formula>$L5="Blocked"</s:formula>
    </s:cfRule>
    <s:cfRule type="expression" priority="9" dxfId="8">
      <s:formula>$L5="Deferred"</s:formula>
    </s:cfRule>
    <s:cfRule type="expression" priority="10" dxfId="7">
      <s:formula>$L5="Done"</s:formula>
    </s:cfRule>
  </s:conditionalFormatting>
  <s:conditionalFormatting sqref="H5:H189">
    <s:cfRule type="expression" priority="11" dxfId="1">
      <s:formula>$H5="P0"</s:formula>
    </s:cfRule>
  </s:conditionalFormatting>
  <s:dataValidations count="3">
    <s:dataValidation sqref="L5:L189" showDropDown="0" showInputMessage="0" showErrorMessage="1" allowBlank="0" errorTitle="Zgjidh një vlerë nga lista" error="Përdor një vlerë të vlefshme të workbook-ut." type="list">
      <s:formula1>"Not Started,Ready,In Progress,In Review,Blocked,Done,Deferred"</s:formula1>
    </s:dataValidation>
    <s:dataValidation sqref="H5:H189" showDropDown="0" showInputMessage="0" showErrorMessage="1" allowBlank="0" errorTitle="Zgjidh një vlerë nga lista" error="Përdor një vlerë të vlefshme të workbook-ut." type="list">
      <s:formula1>"P0,P1,P2"</s:formula1>
    </s:dataValidation>
    <s:dataValidation sqref="I5:J189" showDropDown="0" showInputMessage="0" showErrorMessage="1" allowBlank="0" errorTitle="Zgjidh një vlerë nga lista" error="Përdor një vlerë të vlefshme të workbook-ut." type="list">
      <s:formula1>"Programmer A,Programmer B"</s:formula1>
    </s:dataValidation>
  </s:dataValidations>
  <s:hyperlinks>
    <s:hyperlink ref="S5" r:id="rId1"/>
    <s:hyperlink ref="AI5" r:id="rId2"/>
    <s:hyperlink ref="S6" r:id="rId3"/>
    <s:hyperlink ref="AI6" r:id="rId4"/>
    <s:hyperlink ref="S7" r:id="rId5"/>
    <s:hyperlink ref="AI7" r:id="rId6"/>
    <s:hyperlink ref="S8" r:id="rId7"/>
    <s:hyperlink ref="AI8" r:id="rId8"/>
    <s:hyperlink ref="S9" r:id="rId9"/>
    <s:hyperlink ref="AI9" r:id="rId10"/>
    <s:hyperlink ref="S10" r:id="rId11"/>
    <s:hyperlink ref="AI10" r:id="rId12"/>
    <s:hyperlink ref="S11" r:id="rId13"/>
    <s:hyperlink ref="AI11" r:id="rId14"/>
    <s:hyperlink ref="S12" r:id="rId15"/>
    <s:hyperlink ref="AI12" r:id="rId16"/>
    <s:hyperlink ref="S13" r:id="rId17"/>
    <s:hyperlink ref="AI13" r:id="rId18"/>
    <s:hyperlink ref="S14" r:id="rId19"/>
    <s:hyperlink ref="AI14" r:id="rId20"/>
    <s:hyperlink ref="S15" r:id="rId21"/>
    <s:hyperlink ref="AI15" r:id="rId22"/>
    <s:hyperlink ref="S16" r:id="rId23"/>
    <s:hyperlink ref="AI16" r:id="rId24"/>
    <s:hyperlink ref="S17" r:id="rId25"/>
    <s:hyperlink ref="AI17" r:id="rId26"/>
    <s:hyperlink ref="S18" r:id="rId27"/>
    <s:hyperlink ref="AI18" r:id="rId28"/>
    <s:hyperlink ref="S19" r:id="rId29"/>
    <s:hyperlink ref="AI19" r:id="rId30"/>
    <s:hyperlink ref="S20" r:id="rId31"/>
    <s:hyperlink ref="AI20" r:id="rId32"/>
    <s:hyperlink ref="S21" r:id="rId33"/>
    <s:hyperlink ref="AI21" r:id="rId34"/>
    <s:hyperlink ref="S22" r:id="rId35"/>
    <s:hyperlink ref="AI22" r:id="rId36"/>
    <s:hyperlink ref="S23" r:id="rId37"/>
    <s:hyperlink ref="AI23" r:id="rId38"/>
    <s:hyperlink ref="S24" r:id="rId39"/>
    <s:hyperlink ref="AI24" r:id="rId40"/>
    <s:hyperlink ref="S25" r:id="rId41"/>
    <s:hyperlink ref="AI25" r:id="rId42"/>
    <s:hyperlink ref="S26" r:id="rId43"/>
    <s:hyperlink ref="AI26" r:id="rId44"/>
    <s:hyperlink ref="S27" r:id="rId45"/>
    <s:hyperlink ref="AI27" r:id="rId46"/>
    <s:hyperlink ref="S28" r:id="rId47"/>
    <s:hyperlink ref="AI28" r:id="rId48"/>
    <s:hyperlink ref="S29" r:id="rId49"/>
    <s:hyperlink ref="AI29" r:id="rId50"/>
    <s:hyperlink ref="S30" r:id="rId51"/>
    <s:hyperlink ref="AI30" r:id="rId52"/>
    <s:hyperlink ref="S31" r:id="rId53"/>
    <s:hyperlink ref="AI31" r:id="rId54"/>
    <s:hyperlink ref="S32" r:id="rId55"/>
    <s:hyperlink ref="AI32" r:id="rId56"/>
    <s:hyperlink ref="S33" r:id="rId57"/>
    <s:hyperlink ref="AI33" r:id="rId58"/>
    <s:hyperlink ref="S34" r:id="rId59"/>
    <s:hyperlink ref="AI34" r:id="rId60"/>
    <s:hyperlink ref="S35" r:id="rId61"/>
    <s:hyperlink ref="AI35" r:id="rId62"/>
    <s:hyperlink ref="S36" r:id="rId63"/>
    <s:hyperlink ref="AI36" r:id="rId64"/>
    <s:hyperlink ref="S37" r:id="rId65"/>
    <s:hyperlink ref="AI37" r:id="rId66"/>
    <s:hyperlink ref="S38" r:id="rId67"/>
    <s:hyperlink ref="AI38" r:id="rId68"/>
    <s:hyperlink ref="S39" r:id="rId69"/>
    <s:hyperlink ref="AI39" r:id="rId70"/>
    <s:hyperlink ref="S40" r:id="rId71"/>
    <s:hyperlink ref="AI40" r:id="rId72"/>
    <s:hyperlink ref="S41" r:id="rId73"/>
    <s:hyperlink ref="AI41" r:id="rId74"/>
    <s:hyperlink ref="S42" r:id="rId75"/>
    <s:hyperlink ref="AI42" r:id="rId76"/>
    <s:hyperlink ref="S43" r:id="rId77"/>
    <s:hyperlink ref="AI43" r:id="rId78"/>
    <s:hyperlink ref="S44" r:id="rId79"/>
    <s:hyperlink ref="AI44" r:id="rId80"/>
    <s:hyperlink ref="S45" r:id="rId81"/>
    <s:hyperlink ref="AI45" r:id="rId82"/>
    <s:hyperlink ref="S46" r:id="rId83"/>
    <s:hyperlink ref="AI46" r:id="rId84"/>
    <s:hyperlink ref="S47" r:id="rId85"/>
    <s:hyperlink ref="AI47" r:id="rId86"/>
    <s:hyperlink ref="S48" r:id="rId87"/>
    <s:hyperlink ref="AI48" r:id="rId88"/>
    <s:hyperlink ref="S49" r:id="rId89"/>
    <s:hyperlink ref="AI49" r:id="rId90"/>
    <s:hyperlink ref="S50" r:id="rId91"/>
    <s:hyperlink ref="AI50" r:id="rId92"/>
    <s:hyperlink ref="S51" r:id="rId93"/>
    <s:hyperlink ref="AI51" r:id="rId94"/>
    <s:hyperlink ref="S52" r:id="rId95"/>
    <s:hyperlink ref="AI52" r:id="rId96"/>
    <s:hyperlink ref="S53" r:id="rId97"/>
    <s:hyperlink ref="AI53" r:id="rId98"/>
    <s:hyperlink ref="S54" r:id="rId99"/>
    <s:hyperlink ref="AI54" r:id="rId100"/>
    <s:hyperlink ref="S55" r:id="rId101"/>
    <s:hyperlink ref="AI55" r:id="rId102"/>
    <s:hyperlink ref="S56" r:id="rId103"/>
    <s:hyperlink ref="AI56" r:id="rId104"/>
    <s:hyperlink ref="S57" r:id="rId105"/>
    <s:hyperlink ref="AI57" r:id="rId106"/>
    <s:hyperlink ref="S58" r:id="rId107"/>
    <s:hyperlink ref="AI58" r:id="rId108"/>
    <s:hyperlink ref="S59" r:id="rId109"/>
    <s:hyperlink ref="AI59" r:id="rId110"/>
    <s:hyperlink ref="S60" r:id="rId111"/>
    <s:hyperlink ref="AI60" r:id="rId112"/>
    <s:hyperlink ref="S61" r:id="rId113"/>
    <s:hyperlink ref="AI61" r:id="rId114"/>
    <s:hyperlink ref="S62" r:id="rId115"/>
    <s:hyperlink ref="AI62" r:id="rId116"/>
    <s:hyperlink ref="S63" r:id="rId117"/>
    <s:hyperlink ref="AI63" r:id="rId118"/>
    <s:hyperlink ref="S64" r:id="rId119"/>
    <s:hyperlink ref="AI64" r:id="rId120"/>
    <s:hyperlink ref="S65" r:id="rId121"/>
    <s:hyperlink ref="AI65" r:id="rId122"/>
    <s:hyperlink ref="S66" r:id="rId123"/>
    <s:hyperlink ref="AI66" r:id="rId124"/>
    <s:hyperlink ref="S67" r:id="rId125"/>
    <s:hyperlink ref="AI67" r:id="rId126"/>
    <s:hyperlink ref="S68" r:id="rId127"/>
    <s:hyperlink ref="AI68" r:id="rId128"/>
    <s:hyperlink ref="S69" r:id="rId129"/>
    <s:hyperlink ref="AI69" r:id="rId130"/>
    <s:hyperlink ref="S70" r:id="rId131"/>
    <s:hyperlink ref="AI70" r:id="rId132"/>
    <s:hyperlink ref="S71" r:id="rId133"/>
    <s:hyperlink ref="AI71" r:id="rId134"/>
    <s:hyperlink ref="S72" r:id="rId135"/>
    <s:hyperlink ref="AI72" r:id="rId136"/>
    <s:hyperlink ref="S73" r:id="rId137"/>
    <s:hyperlink ref="AI73" r:id="rId138"/>
    <s:hyperlink ref="S74" r:id="rId139"/>
    <s:hyperlink ref="AI74" r:id="rId140"/>
    <s:hyperlink ref="S75" r:id="rId141"/>
    <s:hyperlink ref="AI75" r:id="rId142"/>
    <s:hyperlink ref="S76" r:id="rId143"/>
    <s:hyperlink ref="AI76" r:id="rId144"/>
    <s:hyperlink ref="S77" r:id="rId145"/>
    <s:hyperlink ref="AI77" r:id="rId146"/>
    <s:hyperlink ref="S78" r:id="rId147"/>
    <s:hyperlink ref="AI78" r:id="rId148"/>
    <s:hyperlink ref="S79" r:id="rId149"/>
    <s:hyperlink ref="AI79" r:id="rId150"/>
    <s:hyperlink ref="S80" r:id="rId151"/>
    <s:hyperlink ref="AI80" r:id="rId152"/>
    <s:hyperlink ref="S81" r:id="rId153"/>
    <s:hyperlink ref="AI81" r:id="rId154"/>
    <s:hyperlink ref="S82" r:id="rId155"/>
    <s:hyperlink ref="AI82" r:id="rId156"/>
    <s:hyperlink ref="S83" r:id="rId157"/>
    <s:hyperlink ref="AI83" r:id="rId158"/>
    <s:hyperlink ref="S84" r:id="rId159"/>
    <s:hyperlink ref="AI84" r:id="rId160"/>
    <s:hyperlink ref="S85" r:id="rId161"/>
    <s:hyperlink ref="AI85" r:id="rId162"/>
    <s:hyperlink ref="S86" r:id="rId163"/>
    <s:hyperlink ref="AI86" r:id="rId164"/>
    <s:hyperlink ref="S87" r:id="rId165"/>
    <s:hyperlink ref="AI87" r:id="rId166"/>
    <s:hyperlink ref="S88" r:id="rId167"/>
    <s:hyperlink ref="AI88" r:id="rId168"/>
    <s:hyperlink ref="S89" r:id="rId169"/>
    <s:hyperlink ref="AI89" r:id="rId170"/>
    <s:hyperlink ref="S90" r:id="rId171"/>
    <s:hyperlink ref="AI90" r:id="rId172"/>
    <s:hyperlink ref="S91" r:id="rId173"/>
    <s:hyperlink ref="AI91" r:id="rId174"/>
    <s:hyperlink ref="S92" r:id="rId175"/>
    <s:hyperlink ref="AI92" r:id="rId176"/>
    <s:hyperlink ref="S93" r:id="rId177"/>
    <s:hyperlink ref="AI93" r:id="rId178"/>
    <s:hyperlink ref="S94" r:id="rId179"/>
    <s:hyperlink ref="AI94" r:id="rId180"/>
    <s:hyperlink ref="S95" r:id="rId181"/>
    <s:hyperlink ref="AI95" r:id="rId182"/>
    <s:hyperlink ref="S96" r:id="rId183"/>
    <s:hyperlink ref="AI96" r:id="rId184"/>
    <s:hyperlink ref="S97" r:id="rId185"/>
    <s:hyperlink ref="AI97" r:id="rId186"/>
    <s:hyperlink ref="S98" r:id="rId187"/>
    <s:hyperlink ref="AI98" r:id="rId188"/>
    <s:hyperlink ref="S99" r:id="rId189"/>
    <s:hyperlink ref="AI99" r:id="rId190"/>
    <s:hyperlink ref="S100" r:id="rId191"/>
    <s:hyperlink ref="AI100" r:id="rId192"/>
    <s:hyperlink ref="S101" r:id="rId193"/>
    <s:hyperlink ref="AI101" r:id="rId194"/>
    <s:hyperlink ref="S102" r:id="rId195"/>
    <s:hyperlink ref="AI102" r:id="rId196"/>
    <s:hyperlink ref="S103" r:id="rId197"/>
    <s:hyperlink ref="AI103" r:id="rId198"/>
    <s:hyperlink ref="S104" r:id="rId199"/>
    <s:hyperlink ref="AI104" r:id="rId200"/>
    <s:hyperlink ref="S105" r:id="rId201"/>
    <s:hyperlink ref="AI105" r:id="rId202"/>
    <s:hyperlink ref="S106" r:id="rId203"/>
    <s:hyperlink ref="AI106" r:id="rId204"/>
    <s:hyperlink ref="S107" r:id="rId205"/>
    <s:hyperlink ref="AI107" r:id="rId206"/>
    <s:hyperlink ref="S108" r:id="rId207"/>
    <s:hyperlink ref="AI108" r:id="rId208"/>
    <s:hyperlink ref="S109" r:id="rId209"/>
    <s:hyperlink ref="AI109" r:id="rId210"/>
    <s:hyperlink ref="S110" r:id="rId211"/>
    <s:hyperlink ref="AI110" r:id="rId212"/>
    <s:hyperlink ref="S111" r:id="rId213"/>
    <s:hyperlink ref="AI111" r:id="rId214"/>
    <s:hyperlink ref="S112" r:id="rId215"/>
    <s:hyperlink ref="AI112" r:id="rId216"/>
    <s:hyperlink ref="S113" r:id="rId217"/>
    <s:hyperlink ref="AI113" r:id="rId218"/>
    <s:hyperlink ref="S114" r:id="rId219"/>
    <s:hyperlink ref="AI114" r:id="rId220"/>
    <s:hyperlink ref="S115" r:id="rId221"/>
    <s:hyperlink ref="AI115" r:id="rId222"/>
    <s:hyperlink ref="S116" r:id="rId223"/>
    <s:hyperlink ref="AI116" r:id="rId224"/>
    <s:hyperlink ref="S117" r:id="rId225"/>
    <s:hyperlink ref="AI117" r:id="rId226"/>
    <s:hyperlink ref="S118" r:id="rId227"/>
    <s:hyperlink ref="AI118" r:id="rId228"/>
    <s:hyperlink ref="S119" r:id="rId229"/>
    <s:hyperlink ref="AI119" r:id="rId230"/>
    <s:hyperlink ref="S120" r:id="rId231"/>
    <s:hyperlink ref="AI120" r:id="rId232"/>
    <s:hyperlink ref="S121" r:id="rId233"/>
    <s:hyperlink ref="AI121" r:id="rId234"/>
    <s:hyperlink ref="S122" r:id="rId235"/>
    <s:hyperlink ref="AI122" r:id="rId236"/>
    <s:hyperlink ref="S123" r:id="rId237"/>
    <s:hyperlink ref="AI123" r:id="rId238"/>
    <s:hyperlink ref="S124" r:id="rId239"/>
    <s:hyperlink ref="AI124" r:id="rId240"/>
    <s:hyperlink ref="S125" r:id="rId241"/>
    <s:hyperlink ref="AI125" r:id="rId242"/>
    <s:hyperlink ref="S126" r:id="rId243"/>
    <s:hyperlink ref="AI126" r:id="rId244"/>
    <s:hyperlink ref="S127" r:id="rId245"/>
    <s:hyperlink ref="AI127" r:id="rId246"/>
    <s:hyperlink ref="S128" r:id="rId247"/>
    <s:hyperlink ref="AI128" r:id="rId248"/>
    <s:hyperlink ref="S129" r:id="rId249"/>
    <s:hyperlink ref="AI129" r:id="rId250"/>
    <s:hyperlink ref="S130" r:id="rId251"/>
    <s:hyperlink ref="AI130" r:id="rId252"/>
    <s:hyperlink ref="S131" r:id="rId253"/>
    <s:hyperlink ref="AI131" r:id="rId254"/>
    <s:hyperlink ref="S132" r:id="rId255"/>
    <s:hyperlink ref="AI132" r:id="rId256"/>
    <s:hyperlink ref="S133" r:id="rId257"/>
    <s:hyperlink ref="AI133" r:id="rId258"/>
    <s:hyperlink ref="S134" r:id="rId259"/>
    <s:hyperlink ref="AI134" r:id="rId260"/>
    <s:hyperlink ref="S135" r:id="rId261"/>
    <s:hyperlink ref="AI135" r:id="rId262"/>
    <s:hyperlink ref="S136" r:id="rId263"/>
    <s:hyperlink ref="AI136" r:id="rId264"/>
    <s:hyperlink ref="S137" r:id="rId265"/>
    <s:hyperlink ref="AI137" r:id="rId266"/>
    <s:hyperlink ref="S138" r:id="rId267"/>
    <s:hyperlink ref="AI138" r:id="rId268"/>
    <s:hyperlink ref="S139" r:id="rId269"/>
    <s:hyperlink ref="AI139" r:id="rId270"/>
    <s:hyperlink ref="S140" r:id="rId271"/>
    <s:hyperlink ref="AI140" r:id="rId272"/>
    <s:hyperlink ref="S141" r:id="rId273"/>
    <s:hyperlink ref="AI141" r:id="rId274"/>
    <s:hyperlink ref="S142" r:id="rId275"/>
    <s:hyperlink ref="AI142" r:id="rId276"/>
    <s:hyperlink ref="S143" r:id="rId277"/>
    <s:hyperlink ref="AI143" r:id="rId278"/>
    <s:hyperlink ref="S144" r:id="rId279"/>
    <s:hyperlink ref="AI144" r:id="rId280"/>
    <s:hyperlink ref="S145" r:id="rId281"/>
    <s:hyperlink ref="AI145" r:id="rId282"/>
    <s:hyperlink ref="S146" r:id="rId283"/>
    <s:hyperlink ref="AI146" r:id="rId284"/>
    <s:hyperlink ref="S147" r:id="rId285"/>
    <s:hyperlink ref="AI147" r:id="rId286"/>
    <s:hyperlink ref="S148" r:id="rId287"/>
    <s:hyperlink ref="AI148" r:id="rId288"/>
    <s:hyperlink ref="S149" r:id="rId289"/>
    <s:hyperlink ref="AI149" r:id="rId290"/>
    <s:hyperlink ref="S150" r:id="rId291"/>
    <s:hyperlink ref="AI150" r:id="rId292"/>
    <s:hyperlink ref="S151" r:id="rId293"/>
    <s:hyperlink ref="AI151" r:id="rId294"/>
    <s:hyperlink ref="S152" r:id="rId295"/>
    <s:hyperlink ref="AI152" r:id="rId296"/>
    <s:hyperlink ref="S153" r:id="rId297"/>
    <s:hyperlink ref="AI153" r:id="rId298"/>
    <s:hyperlink ref="S154" r:id="rId299"/>
    <s:hyperlink ref="AI154" r:id="rId300"/>
    <s:hyperlink ref="S155" r:id="rId301"/>
    <s:hyperlink ref="AI155" r:id="rId302"/>
    <s:hyperlink ref="S156" r:id="rId303"/>
    <s:hyperlink ref="AI156" r:id="rId304"/>
    <s:hyperlink ref="S157" r:id="rId305"/>
    <s:hyperlink ref="AI157" r:id="rId306"/>
    <s:hyperlink ref="S158" r:id="rId307"/>
    <s:hyperlink ref="AI158" r:id="rId308"/>
    <s:hyperlink ref="S159" r:id="rId309"/>
    <s:hyperlink ref="AI159" r:id="rId310"/>
    <s:hyperlink ref="S160" r:id="rId311"/>
    <s:hyperlink ref="AI160" r:id="rId312"/>
    <s:hyperlink ref="S161" r:id="rId313"/>
    <s:hyperlink ref="AI161" r:id="rId314"/>
    <s:hyperlink ref="S162" r:id="rId315"/>
    <s:hyperlink ref="AI162" r:id="rId316"/>
    <s:hyperlink ref="S163" r:id="rId317"/>
    <s:hyperlink ref="AI163" r:id="rId318"/>
    <s:hyperlink ref="S164" r:id="rId319"/>
    <s:hyperlink ref="AI164" r:id="rId320"/>
    <s:hyperlink ref="S165" r:id="rId321"/>
    <s:hyperlink ref="AI165" r:id="rId322"/>
    <s:hyperlink ref="S166" r:id="rId323"/>
    <s:hyperlink ref="AI166" r:id="rId324"/>
    <s:hyperlink ref="S167" r:id="rId325"/>
    <s:hyperlink ref="AI167" r:id="rId326"/>
    <s:hyperlink ref="S168" r:id="rId327"/>
    <s:hyperlink ref="AI168" r:id="rId328"/>
    <s:hyperlink ref="S169" r:id="rId329"/>
    <s:hyperlink ref="AI169" r:id="rId330"/>
    <s:hyperlink ref="S170" r:id="rId331"/>
    <s:hyperlink ref="AI170" r:id="rId332"/>
    <s:hyperlink ref="S171" r:id="rId333"/>
    <s:hyperlink ref="AI171" r:id="rId334"/>
    <s:hyperlink ref="S172" r:id="rId335"/>
    <s:hyperlink ref="AI172" r:id="rId336"/>
    <s:hyperlink ref="S173" r:id="rId337"/>
    <s:hyperlink ref="AI173" r:id="rId338"/>
    <s:hyperlink ref="S174" r:id="rId339"/>
    <s:hyperlink ref="AI174" r:id="rId340"/>
    <s:hyperlink ref="S175" r:id="rId341"/>
    <s:hyperlink ref="AI175" r:id="rId342"/>
    <s:hyperlink ref="S176" r:id="rId343"/>
    <s:hyperlink ref="AI176" r:id="rId344"/>
    <s:hyperlink ref="S177" r:id="rId345"/>
    <s:hyperlink ref="AI177" r:id="rId346"/>
    <s:hyperlink ref="S178" r:id="rId347"/>
    <s:hyperlink ref="AI178" r:id="rId348"/>
    <s:hyperlink ref="S179" r:id="rId349"/>
    <s:hyperlink ref="AI179" r:id="rId350"/>
    <s:hyperlink ref="S180" r:id="rId351"/>
    <s:hyperlink ref="AI180" r:id="rId352"/>
    <s:hyperlink ref="S181" r:id="rId353"/>
    <s:hyperlink ref="AI181" r:id="rId354"/>
    <s:hyperlink ref="S182" r:id="rId355"/>
    <s:hyperlink ref="AI182" r:id="rId356"/>
    <s:hyperlink ref="S183" r:id="rId357"/>
    <s:hyperlink ref="AI183" r:id="rId358"/>
    <s:hyperlink ref="S184" r:id="rId359"/>
    <s:hyperlink ref="AI184" r:id="rId360"/>
    <s:hyperlink ref="S185" r:id="rId361"/>
    <s:hyperlink ref="AI185" r:id="rId362"/>
    <s:hyperlink ref="S186" r:id="rId363"/>
    <s:hyperlink ref="AI186" r:id="rId364"/>
    <s:hyperlink ref="S187" r:id="rId365"/>
    <s:hyperlink ref="AI187" r:id="rId366"/>
    <s:hyperlink ref="S188" r:id="rId367"/>
    <s:hyperlink ref="AI188" r:id="rId368"/>
    <s:hyperlink ref="S189" r:id="rId369"/>
    <s:hyperlink ref="AI189" r:id="rId370"/>
  </s:hyperlinks>
  <s:pageMargins left="0.25" right="0.25" top="0.5" bottom="0.5" header="0.5" footer="0.5"/>
  <s:pageSetup fitToHeight="0"/>
  <s:headerFooter>
    <s:oddHeader/>
    <s:oddFooter>&amp;C&amp;8 AI Marketing Platform - Engineering Execution Workbook v1.0</s:oddFooter>
    <s:evenHeader/>
    <s:evenFooter/>
    <s:firstHeader/>
    <s:firstFooter/>
  </s:headerFooter>
  <s:legacyDrawing r:id="anysvml"/>
</s:worksheet>
</file>

<file path=xl/worksheets/sheet4.xml><?xml version="1.0" encoding="utf-8"?>
<s:worksheet xmlns:s="http://schemas.openxmlformats.org/spreadsheetml/2006/main">
  <s:sheetPr>
    <s:tabColor rgb="FF0F766E"/>
    <s:outlinePr summaryBelow="1" summaryRight="1"/>
    <s:pageSetUpPr fitToPage="1"/>
  </s:sheetPr>
  <s:dimension ref="A1:K17"/>
  <s:sheetViews>
    <s:sheetView showGridLines="0" zoomScale="90" workbookViewId="0">
      <s:pane ySplit="4" topLeftCell="A5" activePane="bottomLeft" state="frozen"/>
      <s:selection pane="bottomLeft" activeCell="A1" sqref="A1"/>
    </s:sheetView>
  </s:sheetViews>
  <s:sheetFormatPr baseColWidth="8" defaultRowHeight="15"/>
  <s:cols>
    <s:col width="10" customWidth="1" style="48" min="1" max="1"/>
    <s:col width="11" customWidth="1" style="48" min="2" max="8"/>
    <s:col width="14" customWidth="1" style="48" min="9" max="9"/>
    <s:col width="11" customWidth="1" style="48" min="10" max="10"/>
    <s:col width="10" customWidth="1" style="48" min="11" max="11"/>
  </s:cols>
  <s:sheetData>
    <s:row r="1" ht="33.95" customHeight="1" s="48">
      <s:c r="A1" s="40" t="inlineStr">
        <s:is>
          <s:t>Developer Workload &amp; Capacity</s:t>
        </s:is>
      </s:c>
    </s:row>
    <s:row r="2">
      <s:c r="A2" s="39" t="inlineStr">
        <s:is>
          <s:t>Utilization is planned task hours / nominal capacity. Remaining capacity is intentional for review, planning, defects, provider work and stabilization.</s:t>
        </s:is>
      </s:c>
    </s:row>
    <s:row r="3"/>
    <s:row r="4" ht="30" customHeight="1" s="48">
      <s:c r="A4" s="11" t="inlineStr">
        <s:is>
          <s:t>Sprint</s:t>
        </s:is>
      </s:c>
      <s:c r="B4" s="11" t="inlineStr">
        <s:is>
          <s:t>A Hours</s:t>
        </s:is>
      </s:c>
      <s:c r="C4" s="11" t="inlineStr">
        <s:is>
          <s:t>A Capacity</s:t>
        </s:is>
      </s:c>
      <s:c r="D4" s="11" t="inlineStr">
        <s:is>
          <s:t>A Util.</s:t>
        </s:is>
      </s:c>
      <s:c r="E4" s="11" t="inlineStr">
        <s:is>
          <s:t>B Hours</s:t>
        </s:is>
      </s:c>
      <s:c r="F4" s="11" t="inlineStr">
        <s:is>
          <s:t>B Capacity</s:t>
        </s:is>
      </s:c>
      <s:c r="G4" s="11" t="inlineStr">
        <s:is>
          <s:t>B Util.</s:t>
        </s:is>
      </s:c>
      <s:c r="H4" s="11" t="inlineStr">
        <s:is>
          <s:t>Total</s:t>
        </s:is>
      </s:c>
      <s:c r="I4" s="11" t="inlineStr">
        <s:is>
          <s:t>Total Capacity</s:t>
        </s:is>
      </s:c>
      <s:c r="J4" s="11" t="inlineStr">
        <s:is>
          <s:t>Buffer</s:t>
        </s:is>
      </s:c>
      <s:c r="K4" s="11" t="inlineStr">
        <s:is>
          <s:t>Open P0</s:t>
        </s:is>
      </s:c>
    </s:row>
    <s:row r="5">
      <s:c r="A5" s="20" t="inlineStr">
        <s:is>
          <s:t>S0</s:t>
        </s:is>
      </s:c>
      <s:c r="B5" s="15">
        <s:f>SUMIFS('02_BACKLOG'!$K:$K,'02_BACKLOG'!$B:$B,$A5,'02_BACKLOG'!$I:$I,"Programmer A")</s:f>
        <s:v>71</s:v>
      </s:c>
      <s:c r="C5" s="15">
        <s:f>'00_README'!$B$16</s:f>
        <s:v>80</s:v>
      </s:c>
      <s:c r="D5" s="16">
        <s:f>IFERROR(B5/C5,0)</s:f>
        <s:v>0.8875</s:v>
      </s:c>
      <s:c r="E5" s="15">
        <s:f>SUMIFS('02_BACKLOG'!$K:$K,'02_BACKLOG'!$B:$B,$A5,'02_BACKLOG'!$I:$I,"Programmer B")</s:f>
        <s:v>71</s:v>
      </s:c>
      <s:c r="F5" s="15">
        <s:f>'00_README'!$B$16</s:f>
        <s:v>80</s:v>
      </s:c>
      <s:c r="G5" s="16">
        <s:f>IFERROR(E5/F5,0)</s:f>
        <s:v>0.8875</s:v>
      </s:c>
      <s:c r="H5" s="15">
        <s:f>B5+E5</s:f>
        <s:v>142</s:v>
      </s:c>
      <s:c r="I5" s="15">
        <s:f>C5+F5</s:f>
        <s:v>160</s:v>
      </s:c>
      <s:c r="J5" s="15">
        <s:f>I5-H5</s:f>
        <s:v>18</s:v>
      </s:c>
      <s:c r="K5" s="15">
        <s:f>COUNTIFS('02_BACKLOG'!$B:$B,$A5,'02_BACKLOG'!$H:$H,"P0",'02_BACKLOG'!$L:$L,"&lt;&gt;Done",'02_BACKLOG'!$L:$L,"&lt;&gt;Deferred")</s:f>
        <s:v>14</s:v>
      </s:c>
    </s:row>
    <s:row r="6">
      <s:c r="A6" s="20" t="inlineStr">
        <s:is>
          <s:t>S1</s:t>
        </s:is>
      </s:c>
      <s:c r="B6" s="15">
        <s:f>SUMIFS('02_BACKLOG'!$K:$K,'02_BACKLOG'!$B:$B,$A6,'02_BACKLOG'!$I:$I,"Programmer A")</s:f>
        <s:v>72</s:v>
      </s:c>
      <s:c r="C6" s="15">
        <s:f>'00_README'!$B$16</s:f>
        <s:v>80</s:v>
      </s:c>
      <s:c r="D6" s="16">
        <s:f>IFERROR(B6/C6,0)</s:f>
        <s:v>0.9</s:v>
      </s:c>
      <s:c r="E6" s="15">
        <s:f>SUMIFS('02_BACKLOG'!$K:$K,'02_BACKLOG'!$B:$B,$A6,'02_BACKLOG'!$I:$I,"Programmer B")</s:f>
        <s:v>71</s:v>
      </s:c>
      <s:c r="F6" s="15">
        <s:f>'00_README'!$B$16</s:f>
        <s:v>80</s:v>
      </s:c>
      <s:c r="G6" s="16">
        <s:f>IFERROR(E6/F6,0)</s:f>
        <s:v>0.8875</s:v>
      </s:c>
      <s:c r="H6" s="15">
        <s:f>B6+E6</s:f>
        <s:v>143</s:v>
      </s:c>
      <s:c r="I6" s="15">
        <s:f>C6+F6</s:f>
        <s:v>160</s:v>
      </s:c>
      <s:c r="J6" s="15">
        <s:f>I6-H6</s:f>
        <s:v>17</s:v>
      </s:c>
      <s:c r="K6" s="15">
        <s:f>COUNTIFS('02_BACKLOG'!$B:$B,$A6,'02_BACKLOG'!$H:$H,"P0",'02_BACKLOG'!$L:$L,"&lt;&gt;Done",'02_BACKLOG'!$L:$L,"&lt;&gt;Deferred")</s:f>
        <s:v>9</s:v>
      </s:c>
    </s:row>
    <s:row r="7">
      <s:c r="A7" s="20" t="inlineStr">
        <s:is>
          <s:t>S2</s:t>
        </s:is>
      </s:c>
      <s:c r="B7" s="15">
        <s:f>SUMIFS('02_BACKLOG'!$K:$K,'02_BACKLOG'!$B:$B,$A7,'02_BACKLOG'!$I:$I,"Programmer A")</s:f>
        <s:v>75</s:v>
      </s:c>
      <s:c r="C7" s="15">
        <s:f>'00_README'!$B$16</s:f>
        <s:v>80</s:v>
      </s:c>
      <s:c r="D7" s="16">
        <s:f>IFERROR(B7/C7,0)</s:f>
        <s:v>0.9375</s:v>
      </s:c>
      <s:c r="E7" s="15">
        <s:f>SUMIFS('02_BACKLOG'!$K:$K,'02_BACKLOG'!$B:$B,$A7,'02_BACKLOG'!$I:$I,"Programmer B")</s:f>
        <s:v>70</s:v>
      </s:c>
      <s:c r="F7" s="15">
        <s:f>'00_README'!$B$16</s:f>
        <s:v>80</s:v>
      </s:c>
      <s:c r="G7" s="16">
        <s:f>IFERROR(E7/F7,0)</s:f>
        <s:v>0.875</s:v>
      </s:c>
      <s:c r="H7" s="15">
        <s:f>B7+E7</s:f>
        <s:v>145</s:v>
      </s:c>
      <s:c r="I7" s="15">
        <s:f>C7+F7</s:f>
        <s:v>160</s:v>
      </s:c>
      <s:c r="J7" s="15">
        <s:f>I7-H7</s:f>
        <s:v>15</s:v>
      </s:c>
      <s:c r="K7" s="15">
        <s:f>COUNTIFS('02_BACKLOG'!$B:$B,$A7,'02_BACKLOG'!$H:$H,"P0",'02_BACKLOG'!$L:$L,"&lt;&gt;Done",'02_BACKLOG'!$L:$L,"&lt;&gt;Deferred")</s:f>
        <s:v>15</s:v>
      </s:c>
    </s:row>
    <s:row r="8">
      <s:c r="A8" s="20" t="inlineStr">
        <s:is>
          <s:t>S3</s:t>
        </s:is>
      </s:c>
      <s:c r="B8" s="15">
        <s:f>SUMIFS('02_BACKLOG'!$K:$K,'02_BACKLOG'!$B:$B,$A8,'02_BACKLOG'!$I:$I,"Programmer A")</s:f>
        <s:v>74</s:v>
      </s:c>
      <s:c r="C8" s="15">
        <s:f>'00_README'!$B$16</s:f>
        <s:v>80</s:v>
      </s:c>
      <s:c r="D8" s="16">
        <s:f>IFERROR(B8/C8,0)</s:f>
        <s:v>0.925</s:v>
      </s:c>
      <s:c r="E8" s="15">
        <s:f>SUMIFS('02_BACKLOG'!$K:$K,'02_BACKLOG'!$B:$B,$A8,'02_BACKLOG'!$I:$I,"Programmer B")</s:f>
        <s:v>76</s:v>
      </s:c>
      <s:c r="F8" s="15">
        <s:f>'00_README'!$B$16</s:f>
        <s:v>80</s:v>
      </s:c>
      <s:c r="G8" s="16">
        <s:f>IFERROR(E8/F8,0)</s:f>
        <s:v>0.95</s:v>
      </s:c>
      <s:c r="H8" s="15">
        <s:f>B8+E8</s:f>
        <s:v>150</s:v>
      </s:c>
      <s:c r="I8" s="15">
        <s:f>C8+F8</s:f>
        <s:v>160</s:v>
      </s:c>
      <s:c r="J8" s="15">
        <s:f>I8-H8</s:f>
        <s:v>10</s:v>
      </s:c>
      <s:c r="K8" s="15">
        <s:f>COUNTIFS('02_BACKLOG'!$B:$B,$A8,'02_BACKLOG'!$H:$H,"P0",'02_BACKLOG'!$L:$L,"&lt;&gt;Done",'02_BACKLOG'!$L:$L,"&lt;&gt;Deferred")</s:f>
        <s:v>15</s:v>
      </s:c>
    </s:row>
    <s:row r="9">
      <s:c r="A9" s="20" t="inlineStr">
        <s:is>
          <s:t>S4</s:t>
        </s:is>
      </s:c>
      <s:c r="B9" s="15">
        <s:f>SUMIFS('02_BACKLOG'!$K:$K,'02_BACKLOG'!$B:$B,$A9,'02_BACKLOG'!$I:$I,"Programmer A")</s:f>
        <s:v>72</s:v>
      </s:c>
      <s:c r="C9" s="15">
        <s:f>'00_README'!$B$16</s:f>
        <s:v>80</s:v>
      </s:c>
      <s:c r="D9" s="16">
        <s:f>IFERROR(B9/C9,0)</s:f>
        <s:v>0.9</s:v>
      </s:c>
      <s:c r="E9" s="15">
        <s:f>SUMIFS('02_BACKLOG'!$K:$K,'02_BACKLOG'!$B:$B,$A9,'02_BACKLOG'!$I:$I,"Programmer B")</s:f>
        <s:v>73</s:v>
      </s:c>
      <s:c r="F9" s="15">
        <s:f>'00_README'!$B$16</s:f>
        <s:v>80</s:v>
      </s:c>
      <s:c r="G9" s="16">
        <s:f>IFERROR(E9/F9,0)</s:f>
        <s:v>0.9125</s:v>
      </s:c>
      <s:c r="H9" s="15">
        <s:f>B9+E9</s:f>
        <s:v>145</s:v>
      </s:c>
      <s:c r="I9" s="15">
        <s:f>C9+F9</s:f>
        <s:v>160</s:v>
      </s:c>
      <s:c r="J9" s="15">
        <s:f>I9-H9</s:f>
        <s:v>15</s:v>
      </s:c>
      <s:c r="K9" s="15">
        <s:f>COUNTIFS('02_BACKLOG'!$B:$B,$A9,'02_BACKLOG'!$H:$H,"P0",'02_BACKLOG'!$L:$L,"&lt;&gt;Done",'02_BACKLOG'!$L:$L,"&lt;&gt;Deferred")</s:f>
        <s:v>14</s:v>
      </s:c>
    </s:row>
    <s:row r="10">
      <s:c r="A10" s="20" t="inlineStr">
        <s:is>
          <s:t>S5</s:t>
        </s:is>
      </s:c>
      <s:c r="B10" s="15">
        <s:f>SUMIFS('02_BACKLOG'!$K:$K,'02_BACKLOG'!$B:$B,$A10,'02_BACKLOG'!$I:$I,"Programmer A")</s:f>
        <s:v>73</s:v>
      </s:c>
      <s:c r="C10" s="15">
        <s:f>'00_README'!$B$16</s:f>
        <s:v>80</s:v>
      </s:c>
      <s:c r="D10" s="16">
        <s:f>IFERROR(B10/C10,0)</s:f>
        <s:v>0.9125</s:v>
      </s:c>
      <s:c r="E10" s="15">
        <s:f>SUMIFS('02_BACKLOG'!$K:$K,'02_BACKLOG'!$B:$B,$A10,'02_BACKLOG'!$I:$I,"Programmer B")</s:f>
        <s:v>69</s:v>
      </s:c>
      <s:c r="F10" s="15">
        <s:f>'00_README'!$B$16</s:f>
        <s:v>80</s:v>
      </s:c>
      <s:c r="G10" s="16">
        <s:f>IFERROR(E10/F10,0)</s:f>
        <s:v>0.8625</s:v>
      </s:c>
      <s:c r="H10" s="15">
        <s:f>B10+E10</s:f>
        <s:v>142</s:v>
      </s:c>
      <s:c r="I10" s="15">
        <s:f>C10+F10</s:f>
        <s:v>160</s:v>
      </s:c>
      <s:c r="J10" s="15">
        <s:f>I10-H10</s:f>
        <s:v>18</s:v>
      </s:c>
      <s:c r="K10" s="15">
        <s:f>COUNTIFS('02_BACKLOG'!$B:$B,$A10,'02_BACKLOG'!$H:$H,"P0",'02_BACKLOG'!$L:$L,"&lt;&gt;Done",'02_BACKLOG'!$L:$L,"&lt;&gt;Deferred")</s:f>
        <s:v>10</s:v>
      </s:c>
    </s:row>
    <s:row r="11">
      <s:c r="A11" s="20" t="inlineStr">
        <s:is>
          <s:t>S6</s:t>
        </s:is>
      </s:c>
      <s:c r="B11" s="15">
        <s:f>SUMIFS('02_BACKLOG'!$K:$K,'02_BACKLOG'!$B:$B,$A11,'02_BACKLOG'!$I:$I,"Programmer A")</s:f>
        <s:v>81</s:v>
      </s:c>
      <s:c r="C11" s="15">
        <s:f>'00_README'!$B$16</s:f>
        <s:v>80</s:v>
      </s:c>
      <s:c r="D11" s="16">
        <s:f>IFERROR(B11/C11,0)</s:f>
        <s:v>1.0125</s:v>
      </s:c>
      <s:c r="E11" s="15">
        <s:f>SUMIFS('02_BACKLOG'!$K:$K,'02_BACKLOG'!$B:$B,$A11,'02_BACKLOG'!$I:$I,"Programmer B")</s:f>
        <s:v>71</s:v>
      </s:c>
      <s:c r="F11" s="15">
        <s:f>'00_README'!$B$16</s:f>
        <s:v>80</s:v>
      </s:c>
      <s:c r="G11" s="16">
        <s:f>IFERROR(E11/F11,0)</s:f>
        <s:v>0.8875</s:v>
      </s:c>
      <s:c r="H11" s="15">
        <s:f>B11+E11</s:f>
        <s:v>152</s:v>
      </s:c>
      <s:c r="I11" s="15">
        <s:f>C11+F11</s:f>
        <s:v>160</s:v>
      </s:c>
      <s:c r="J11" s="15">
        <s:f>I11-H11</s:f>
        <s:v>8</s:v>
      </s:c>
      <s:c r="K11" s="15">
        <s:f>COUNTIFS('02_BACKLOG'!$B:$B,$A11,'02_BACKLOG'!$H:$H,"P0",'02_BACKLOG'!$L:$L,"&lt;&gt;Done",'02_BACKLOG'!$L:$L,"&lt;&gt;Deferred")</s:f>
        <s:v>10</s:v>
      </s:c>
    </s:row>
    <s:row r="12">
      <s:c r="A12" s="20" t="inlineStr">
        <s:is>
          <s:t>S7</s:t>
        </s:is>
      </s:c>
      <s:c r="B12" s="15">
        <s:f>SUMIFS('02_BACKLOG'!$K:$K,'02_BACKLOG'!$B:$B,$A12,'02_BACKLOG'!$I:$I,"Programmer A")</s:f>
        <s:v>83</s:v>
      </s:c>
      <s:c r="C12" s="15">
        <s:f>'00_README'!$B$16</s:f>
        <s:v>80</s:v>
      </s:c>
      <s:c r="D12" s="16">
        <s:f>IFERROR(B12/C12,0)</s:f>
        <s:v>1.0375</s:v>
      </s:c>
      <s:c r="E12" s="15">
        <s:f>SUMIFS('02_BACKLOG'!$K:$K,'02_BACKLOG'!$B:$B,$A12,'02_BACKLOG'!$I:$I,"Programmer B")</s:f>
        <s:v>70</s:v>
      </s:c>
      <s:c r="F12" s="15">
        <s:f>'00_README'!$B$16</s:f>
        <s:v>80</s:v>
      </s:c>
      <s:c r="G12" s="16">
        <s:f>IFERROR(E12/F12,0)</s:f>
        <s:v>0.875</s:v>
      </s:c>
      <s:c r="H12" s="15">
        <s:f>B12+E12</s:f>
        <s:v>153</s:v>
      </s:c>
      <s:c r="I12" s="15">
        <s:f>C12+F12</s:f>
        <s:v>160</s:v>
      </s:c>
      <s:c r="J12" s="15">
        <s:f>I12-H12</s:f>
        <s:v>7</s:v>
      </s:c>
      <s:c r="K12" s="15">
        <s:f>COUNTIFS('02_BACKLOG'!$B:$B,$A12,'02_BACKLOG'!$H:$H,"P0",'02_BACKLOG'!$L:$L,"&lt;&gt;Done",'02_BACKLOG'!$L:$L,"&lt;&gt;Deferred")</s:f>
        <s:v>13</s:v>
      </s:c>
    </s:row>
    <s:row r="13">
      <s:c r="A13" s="20" t="inlineStr">
        <s:is>
          <s:t>S8</s:t>
        </s:is>
      </s:c>
      <s:c r="B13" s="15">
        <s:f>SUMIFS('02_BACKLOG'!$K:$K,'02_BACKLOG'!$B:$B,$A13,'02_BACKLOG'!$I:$I,"Programmer A")</s:f>
        <s:v>50</s:v>
      </s:c>
      <s:c r="C13" s="15">
        <s:f>'00_README'!$B$16</s:f>
        <s:v>80</s:v>
      </s:c>
      <s:c r="D13" s="16">
        <s:f>IFERROR(B13/C13,0)</s:f>
        <s:v>0.625</s:v>
      </s:c>
      <s:c r="E13" s="15">
        <s:f>SUMIFS('02_BACKLOG'!$K:$K,'02_BACKLOG'!$B:$B,$A13,'02_BACKLOG'!$I:$I,"Programmer B")</s:f>
        <s:v>66</s:v>
      </s:c>
      <s:c r="F13" s="15">
        <s:f>'00_README'!$B$16</s:f>
        <s:v>80</s:v>
      </s:c>
      <s:c r="G13" s="16">
        <s:f>IFERROR(E13/F13,0)</s:f>
        <s:v>0.825</s:v>
      </s:c>
      <s:c r="H13" s="15">
        <s:f>B13+E13</s:f>
        <s:v>116</s:v>
      </s:c>
      <s:c r="I13" s="15">
        <s:f>C13+F13</s:f>
        <s:v>160</s:v>
      </s:c>
      <s:c r="J13" s="15">
        <s:f>I13-H13</s:f>
        <s:v>44</s:v>
      </s:c>
      <s:c r="K13" s="15">
        <s:f>COUNTIFS('02_BACKLOG'!$B:$B,$A13,'02_BACKLOG'!$H:$H,"P0",'02_BACKLOG'!$L:$L,"&lt;&gt;Done",'02_BACKLOG'!$L:$L,"&lt;&gt;Deferred")</s:f>
        <s:v>14</s:v>
      </s:c>
    </s:row>
    <s:row r="14">
      <s:c r="A14" s="20" t="inlineStr">
        <s:is>
          <s:t>S9</s:t>
        </s:is>
      </s:c>
      <s:c r="B14" s="15">
        <s:f>SUMIFS('02_BACKLOG'!$K:$K,'02_BACKLOG'!$B:$B,$A14,'02_BACKLOG'!$I:$I,"Programmer A")</s:f>
        <s:v>41</s:v>
      </s:c>
      <s:c r="C14" s="15">
        <s:f>'00_README'!$B$16</s:f>
        <s:v>80</s:v>
      </s:c>
      <s:c r="D14" s="16">
        <s:f>IFERROR(B14/C14,0)</s:f>
        <s:v>0.5125</s:v>
      </s:c>
      <s:c r="E14" s="15">
        <s:f>SUMIFS('02_BACKLOG'!$K:$K,'02_BACKLOG'!$B:$B,$A14,'02_BACKLOG'!$I:$I,"Programmer B")</s:f>
        <s:v>44</s:v>
      </s:c>
      <s:c r="F14" s="15">
        <s:f>'00_README'!$B$16</s:f>
        <s:v>80</s:v>
      </s:c>
      <s:c r="G14" s="16">
        <s:f>IFERROR(E14/F14,0)</s:f>
        <s:v>0.55</s:v>
      </s:c>
      <s:c r="H14" s="15">
        <s:f>B14+E14</s:f>
        <s:v>85</s:v>
      </s:c>
      <s:c r="I14" s="15">
        <s:f>C14+F14</s:f>
        <s:v>160</s:v>
      </s:c>
      <s:c r="J14" s="15">
        <s:f>I14-H14</s:f>
        <s:v>75</s:v>
      </s:c>
      <s:c r="K14" s="15">
        <s:f>COUNTIFS('02_BACKLOG'!$B:$B,$A14,'02_BACKLOG'!$H:$H,"P0",'02_BACKLOG'!$L:$L,"&lt;&gt;Done",'02_BACKLOG'!$L:$L,"&lt;&gt;Deferred")</s:f>
        <s:v>0</s:v>
      </s:c>
    </s:row>
    <s:row r="15">
      <s:c r="A15" s="20" t="inlineStr">
        <s:is>
          <s:t>S10</s:t>
        </s:is>
      </s:c>
      <s:c r="B15" s="15">
        <s:f>SUMIFS('02_BACKLOG'!$K:$K,'02_BACKLOG'!$B:$B,$A15,'02_BACKLOG'!$I:$I,"Programmer A")</s:f>
        <s:v>38</s:v>
      </s:c>
      <s:c r="C15" s="15">
        <s:f>'00_README'!$B$16</s:f>
        <s:v>80</s:v>
      </s:c>
      <s:c r="D15" s="16">
        <s:f>IFERROR(B15/C15,0)</s:f>
        <s:v>0.475</s:v>
      </s:c>
      <s:c r="E15" s="15">
        <s:f>SUMIFS('02_BACKLOG'!$K:$K,'02_BACKLOG'!$B:$B,$A15,'02_BACKLOG'!$I:$I,"Programmer B")</s:f>
        <s:v>38</s:v>
      </s:c>
      <s:c r="F15" s="15">
        <s:f>'00_README'!$B$16</s:f>
        <s:v>80</s:v>
      </s:c>
      <s:c r="G15" s="16">
        <s:f>IFERROR(E15/F15,0)</s:f>
        <s:v>0.475</s:v>
      </s:c>
      <s:c r="H15" s="15">
        <s:f>B15+E15</s:f>
        <s:v>76</s:v>
      </s:c>
      <s:c r="I15" s="15">
        <s:f>C15+F15</s:f>
        <s:v>160</s:v>
      </s:c>
      <s:c r="J15" s="15">
        <s:f>I15-H15</s:f>
        <s:v>84</s:v>
      </s:c>
      <s:c r="K15" s="15">
        <s:f>COUNTIFS('02_BACKLOG'!$B:$B,$A15,'02_BACKLOG'!$H:$H,"P0",'02_BACKLOG'!$L:$L,"&lt;&gt;Done",'02_BACKLOG'!$L:$L,"&lt;&gt;Deferred")</s:f>
        <s:v>0</s:v>
      </s:c>
    </s:row>
    <s:row r="16">
      <s:c r="A16" s="20" t="n"/>
      <s:c r="B16" s="15" t="n"/>
      <s:c r="C16" s="15" t="n"/>
      <s:c r="D16" s="16" t="n"/>
      <s:c r="E16" s="15" t="n"/>
      <s:c r="F16" s="15" t="n"/>
      <s:c r="G16" s="16" t="n"/>
      <s:c r="H16" s="15" t="n"/>
      <s:c r="I16" s="15" t="n"/>
      <s:c r="J16" s="15" t="n"/>
      <s:c r="K16" s="15" t="n"/>
    </s:row>
    <s:row r="17">
      <s:c r="A17" s="20" t="inlineStr">
        <s:is>
          <s:t>TOTAL</s:t>
        </s:is>
      </s:c>
      <s:c r="B17" s="15">
        <s:f>SUM(B5:B15)</s:f>
        <s:v>730</s:v>
      </s:c>
      <s:c r="C17" s="15" t="n"/>
      <s:c r="D17" s="16" t="n"/>
      <s:c r="E17" s="15">
        <s:f>SUM(E5:E15)</s:f>
        <s:v>719</s:v>
      </s:c>
      <s:c r="F17" s="15" t="n"/>
      <s:c r="G17" s="16" t="n"/>
      <s:c r="H17" s="15">
        <s:f>SUM(H5:H15)</s:f>
        <s:v>1449</s:v>
      </s:c>
      <s:c r="I17" s="15">
        <s:f>SUM(I5:I15)</s:f>
        <s:v>1760</s:v>
      </s:c>
      <s:c r="J17" s="15">
        <s:f>SUM(J5:J15)</s:f>
        <s:v>311</s:v>
      </s:c>
      <s:c r="K17" s="15">
        <s:f>SUM(K5:K15)</s:f>
        <s:v>114</s:v>
      </s:c>
    </s:row>
  </s:sheetData>
  <s:mergeCells count="2">
    <s:mergeCell ref="A2:K2"/>
    <s:mergeCell ref="A1:K1"/>
  </s:mergeCells>
  <s:conditionalFormatting sqref="D5:D12">
    <s:cfRule type="cellIs" priority="1" operator="greaterThan" dxfId="1">
      <s:formula>0.95</s:formula>
    </s:cfRule>
  </s:conditionalFormatting>
  <s:conditionalFormatting sqref="G5:G12">
    <s:cfRule type="cellIs" priority="2" operator="greaterThan" dxfId="1">
      <s:formula>0.95</s:formula>
    </s:cfRule>
  </s:conditionalFormatting>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5.xml><?xml version="1.0" encoding="utf-8"?>
<s:worksheet xmlns:r="http://schemas.openxmlformats.org/officeDocument/2006/relationships" xmlns:s="http://schemas.openxmlformats.org/spreadsheetml/2006/main">
  <s:sheetPr>
    <s:tabColor rgb="FFB91C1C"/>
    <s:outlinePr summaryBelow="1" summaryRight="1"/>
    <s:pageSetUpPr fitToPage="1"/>
  </s:sheetPr>
  <s:dimension ref="A1:I23"/>
  <s:sheetViews>
    <s:sheetView showGridLines="0" zoomScale="90" workbookViewId="0">
      <s:pane ySplit="4" topLeftCell="A5" activePane="bottomLeft" state="frozen"/>
      <s:selection pane="bottomLeft" activeCell="A1" sqref="A1"/>
    </s:sheetView>
  </s:sheetViews>
  <s:sheetFormatPr baseColWidth="8" defaultRowHeight="15"/>
  <s:cols>
    <s:col width="10" customWidth="1" style="48" min="1" max="1"/>
    <s:col width="24" customWidth="1" style="48" min="2" max="2"/>
    <s:col width="35" customWidth="1" style="48" min="3" max="3"/>
    <s:col width="62" customWidth="1" style="48" min="4" max="4"/>
    <s:col width="15" customWidth="1" style="48" min="5" max="5"/>
    <s:col width="17" customWidth="1" style="48" min="6" max="6"/>
    <s:col width="14" customWidth="1" style="48" min="7" max="7"/>
    <s:col width="30" customWidth="1" style="48" min="8" max="8"/>
    <s:col width="32" customWidth="1" style="48" min="9" max="9"/>
  </s:cols>
  <s:sheetData>
    <s:row r="1" ht="33.95" customHeight="1" s="48">
      <s:c r="A1" s="40" t="inlineStr">
        <s:is>
          <s:t>Release Gates - Production Launch Cannot Bypass These</s:t>
        </s:is>
      </s:c>
    </s:row>
    <s:row r="2">
      <s:c r="A2" s="39" t="inlineStr">
        <s:is>
          <s:t>Gate status is controlled by evidence, not calendar date. Open related P0 tasks are calculated from 02_BACKLOG.</s:t>
        </s:is>
      </s:c>
    </s:row>
    <s:row r="3"/>
    <s:row r="4" ht="30" customHeight="1" s="48">
      <s:c r="A4" s="11" t="inlineStr">
        <s:is>
          <s:t>Gate</s:t>
        </s:is>
      </s:c>
      <s:c r="B4" s="11" t="inlineStr">
        <s:is>
          <s:t>Name</s:t>
        </s:is>
      </s:c>
      <s:c r="C4" s="11" t="inlineStr">
        <s:is>
          <s:t>Purpose</s:t>
        </s:is>
      </s:c>
      <s:c r="D4" s="11" t="inlineStr">
        <s:is>
          <s:t>Pass Criteria / Evidence</s:t>
        </s:is>
      </s:c>
      <s:c r="E4" s="11" t="inlineStr">
        <s:is>
          <s:t>Related Task Count</s:t>
        </s:is>
      </s:c>
      <s:c r="F4" s="11" t="inlineStr">
        <s:is>
          <s:t>Open Related Tasks</s:t>
        </s:is>
      </s:c>
      <s:c r="G4" s="11" t="inlineStr">
        <s:is>
          <s:t>Status</s:t>
        </s:is>
      </s:c>
      <s:c r="H4" s="11" t="inlineStr">
        <s:is>
          <s:t>Evidence Link</s:t>
        </s:is>
      </s:c>
      <s:c r="I4" s="11" t="inlineStr">
        <s:is>
          <s:t>Owner/Notes</s:t>
        </s:is>
      </s:c>
    </s:row>
    <s:row r="5" ht="95.09999999999999" customHeight="1" s="48">
      <s:c r="A5" s="17" t="inlineStr">
        <s:is>
          <s:t>RG-01</s:t>
        </s:is>
      </s:c>
      <s:c r="B5" s="17" t="inlineStr">
        <s:is>
          <s:t>Architecture &amp; Build</s:t>
        </s:is>
      </s:c>
      <s:c r="C5" s="13" t="inlineStr">
        <s:is>
          <s:t>Architecture baseline, reproducible builds and safe delivery</s:t>
        </s:is>
      </s:c>
      <s:c r="D5" s="13" t="inlineStr">
        <s:is>
          <s:t>ADR-001 accepted; repo/build/container reproducible; deployment artifacts immutable.</s:t>
        </s:is>
      </s:c>
      <s:c r="E5" s="13">
        <s:f>COUNTIF('02_BACKLOG'!$N:$N,"*"&amp;A5&amp;"*")</s:f>
        <s:v>10</s:v>
      </s:c>
      <s:c r="F5" s="13">
        <s:f>COUNTIFS('02_BACKLOG'!$N:$N,"*"&amp;A5&amp;"*",'02_BACKLOG'!$L:$L,"&lt;&gt;Done",'02_BACKLOG'!$L:$L,"&lt;&gt;Deferred")</s:f>
        <s:v>10</s:v>
      </s:c>
      <s:c r="G5" s="19" t="inlineStr">
        <s:is>
          <s:t>In Progress</s:t>
        </s:is>
      </s:c>
      <s:c r="H5" s="19" t="inlineStr">
        <s:is>
          <s:t>docs/backlog-audit-2026-09-07.json</s:t>
        </s:is>
      </s:c>
      <s:c r="I5" s="19" t="inlineStr">
        <s:is>
          <s:t>2026-09-07: Nuxt/Nitro/PG kod dhe kontrolle lokale; mungon ADR i stack-ut aktual, Node 24/build aktual, CI me DB dhe immutable deploy.</s:t>
        </s:is>
      </s:c>
    </s:row>
    <s:row r="6" ht="95.09999999999999" customHeight="1" s="48">
      <s:c r="A6" s="17" t="inlineStr">
        <s:is>
          <s:t>RG-02</s:t>
        </s:is>
      </s:c>
      <s:c r="B6" s="17" t="inlineStr">
        <s:is>
          <s:t>Tenant Isolation</s:t>
        </s:is>
      </s:c>
      <s:c r="C6" s="13" t="inlineStr">
        <s:is>
          <s:t>Zero cross-tenant access</s:t>
        </s:is>
      </s:c>
      <s:c r="D6" s="13" t="inlineStr">
        <s:is>
          <s:t>All tenant tables RLS protected; negative cross-tenant suite green.</s:t>
        </s:is>
      </s:c>
      <s:c r="E6" s="13">
        <s:f>COUNTIF('02_BACKLOG'!$N:$N,"*"&amp;A6&amp;"*")</s:f>
        <s:v>8</s:v>
      </s:c>
      <s:c r="F6" s="13">
        <s:f>COUNTIFS('02_BACKLOG'!$N:$N,"*"&amp;A6&amp;"*",'02_BACKLOG'!$L:$L,"&lt;&gt;Done",'02_BACKLOG'!$L:$L,"&lt;&gt;Deferred")</s:f>
        <s:v>5</s:v>
      </s:c>
      <s:c r="G6" s="19" t="inlineStr">
        <s:is>
          <s:t>Not Started</s:t>
        </s:is>
      </s:c>
      <s:c r="H6" s="19" t="inlineStr">
        <s:is>
          <s:t>docs/backlog-audit-2026-09-07.json</s:t>
        </s:is>
      </s:c>
      <s:c r="I6" s="19" t="inlineStr">
        <s:is>
          <s:t>2026-09-07: Owner checks në aplikacion ekzistojnë; RLS/runtime role/context dhe suite për të gjitha tabelat nuk janë implementuar.</s:t>
        </s:is>
      </s:c>
    </s:row>
    <s:row r="7" ht="95.09999999999999" customHeight="1" s="48">
      <s:c r="A7" s="17" t="inlineStr">
        <s:is>
          <s:t>RG-03</s:t>
        </s:is>
      </s:c>
      <s:c r="B7" s="17" t="inlineStr">
        <s:is>
          <s:t>Auth &amp; RBAC</s:t>
        </s:is>
      </s:c>
      <s:c r="C7" s="13" t="inlineStr">
        <s:is>
          <s:t>Identity/authorization trustworthy</s:t>
        </s:is>
      </s:c>
      <s:c r="D7" s="13" t="inlineStr">
        <s:is>
          <s:t>Role matrix green; sensitive actions audited; no service credential in browser.</s:t>
        </s:is>
      </s:c>
      <s:c r="E7" s="13">
        <s:f>COUNTIF('02_BACKLOG'!$N:$N,"*"&amp;A7&amp;"*")</s:f>
        <s:v>12</s:v>
      </s:c>
      <s:c r="F7" s="13">
        <s:f>COUNTIFS('02_BACKLOG'!$N:$N,"*"&amp;A7&amp;"*",'02_BACKLOG'!$L:$L,"&lt;&gt;Done",'02_BACKLOG'!$L:$L,"&lt;&gt;Deferred")</s:f>
        <s:v>8</s:v>
      </s:c>
      <s:c r="G7" s="19" t="inlineStr">
        <s:is>
          <s:t>In Progress</s:t>
        </s:is>
      </s:c>
      <s:c r="H7" s="19" t="inlineStr">
        <s:is>
          <s:t>docs/backlog-audit-2026-09-07.json</s:t>
        </s:is>
      </s:c>
      <s:c r="I7" s="19" t="inlineStr">
        <s:is>
          <s:t>2026-09-07: Better Auth real dhe origin checks; mungojnë role matrix, sensitive-action audit dhe staging auth suite e plotë.</s:t>
        </s:is>
      </s:c>
    </s:row>
    <s:row r="8" ht="95.09999999999999" customHeight="1" s="48">
      <s:c r="A8" s="17" t="inlineStr">
        <s:is>
          <s:t>RG-04</s:t>
        </s:is>
      </s:c>
      <s:c r="B8" s="17" t="inlineStr">
        <s:is>
          <s:t>Meta Readiness</s:t>
        </s:is>
      </s:c>
      <s:c r="C8" s="13" t="inlineStr">
        <s:is>
          <s:t>Real customer account integration</s:t>
        </s:is>
      </s:c>
      <s:c r="D8" s="13" t="inlineStr">
        <s:is>
          <s:t>Required app access/permissions, redirect/webhook config, reconnect and live eligible-account smoke complete.</s:t>
        </s:is>
      </s:c>
      <s:c r="E8" s="13">
        <s:f>COUNTIF('02_BACKLOG'!$N:$N,"*"&amp;A8&amp;"*")</s:f>
        <s:v>13</s:v>
      </s:c>
      <s:c r="F8" s="13">
        <s:f>COUNTIFS('02_BACKLOG'!$N:$N,"*"&amp;A8&amp;"*",'02_BACKLOG'!$L:$L,"&lt;&gt;Done",'02_BACKLOG'!$L:$L,"&lt;&gt;Deferred")</s:f>
        <s:v>13</s:v>
      </s:c>
      <s:c r="G8" s="19" t="inlineStr">
        <s:is>
          <s:t>Blocked</s:t>
        </s:is>
      </s:c>
      <s:c r="H8" s="19" t="inlineStr">
        <s:is>
          <s:t>docs/backlog-audit-2026-09-07.json</s:t>
        </s:is>
      </s:c>
      <s:c r="I8" s="19" t="inlineStr">
        <s:is>
          <s:t>2026-09-07: META_APP_ID/SECRET/LOGIN_CONFIG_ID/REDIRECT_URI mungojnë. Duhet owner Meta App, access review, HTTPS/callbacks dhe non-developer account smoke.</s:t>
        </s:is>
      </s:c>
    </s:row>
    <s:row r="9" ht="95.09999999999999" customHeight="1" s="48">
      <s:c r="A9" s="17" t="inlineStr">
        <s:is>
          <s:t>RG-05</s:t>
        </s:is>
      </s:c>
      <s:c r="B9" s="17" t="inlineStr">
        <s:is>
          <s:t>Media Security</s:t>
        </s:is>
      </s:c>
      <s:c r="C9" s="13" t="inlineStr">
        <s:is>
          <s:t>Customer assets private and safe</s:t>
        </s:is>
      </s:c>
      <s:c r="D9" s="13" t="inlineStr">
        <s:is>
          <s:t>Ownership, signed upload, magic-byte validation, re-encode, EXIF strip and private storage tests green.</s:t>
        </s:is>
      </s:c>
      <s:c r="E9" s="13">
        <s:f>COUNTIF('02_BACKLOG'!$N:$N,"*"&amp;A9&amp;"*")</s:f>
        <s:v>9</s:v>
      </s:c>
      <s:c r="F9" s="13">
        <s:f>COUNTIFS('02_BACKLOG'!$N:$N,"*"&amp;A9&amp;"*",'02_BACKLOG'!$L:$L,"&lt;&gt;Done",'02_BACKLOG'!$L:$L,"&lt;&gt;Deferred")</s:f>
        <s:v>9</s:v>
      </s:c>
      <s:c r="G9" s="19" t="inlineStr">
        <s:is>
          <s:t>In Progress</s:t>
        </s:is>
      </s:c>
      <s:c r="H9" s="19" t="inlineStr">
        <s:is>
          <s:t>docs/backlog-audit-2026-09-07.json</s:t>
        </s:is>
      </s:c>
      <s:c r="I9" s="19" t="inlineStr">
        <s:is>
          <s:t>2026-09-07: Private JPEG/Sharp/rights/EXIF tests kalojnë; signed direct upload, variants dhe lifecycle tests mungojnë.</s:t>
        </s:is>
      </s:c>
    </s:row>
    <s:row r="10" ht="95.09999999999999" customHeight="1" s="48">
      <s:c r="A10" s="17" t="inlineStr">
        <s:is>
          <s:t>RG-06</s:t>
        </s:is>
      </s:c>
      <s:c r="B10" s="17" t="inlineStr">
        <s:is>
          <s:t>AI Quality &amp; Provenance</s:t>
        </s:is>
      </s:c>
      <s:c r="C10" s="13" t="inlineStr">
        <s:is>
          <s:t>AI output grounded and controlled</s:t>
        </s:is>
      </s:c>
      <s:c r="D10" s="13" t="inlineStr">
        <s:is>
          <s:t>Golden eval thresholds pass; commercial facts trace to verified evidence; cost budgets enforced.</s:t>
        </s:is>
      </s:c>
      <s:c r="E10" s="13">
        <s:f>COUNTIF('02_BACKLOG'!$N:$N,"*"&amp;A10&amp;"*")</s:f>
        <s:v>20</s:v>
      </s:c>
      <s:c r="F10" s="13">
        <s:f>COUNTIFS('02_BACKLOG'!$N:$N,"*"&amp;A10&amp;"*",'02_BACKLOG'!$L:$L,"&lt;&gt;Done",'02_BACKLOG'!$L:$L,"&lt;&gt;Deferred")</s:f>
        <s:v>20</s:v>
      </s:c>
      <s:c r="G10" s="19" t="inlineStr">
        <s:is>
          <s:t>In Progress</s:t>
        </s:is>
      </s:c>
      <s:c r="H10" s="19" t="inlineStr">
        <s:is>
          <s:t>docs/backlog-audit-2026-09-07.json</s:t>
        </s:is>
      </s:c>
      <s:c r="I10" s="19" t="inlineStr">
        <s:is>
          <s:t>2026-09-07: Responses captions/schema/verified-fact context në kod; pa OpenAI credentials/evals/immutable provenance/cost budgets.</s:t>
        </s:is>
      </s:c>
    </s:row>
    <s:row r="11" ht="95.09999999999999" customHeight="1" s="48">
      <s:c r="A11" s="17" t="inlineStr">
        <s:is>
          <s:t>RG-07</s:t>
        </s:is>
      </s:c>
      <s:c r="B11" s="17" t="inlineStr">
        <s:is>
          <s:t>Publishing Reliability</s:t>
        </s:is>
      </s:c>
      <s:c r="C11" s="13" t="inlineStr">
        <s:is>
          <s:t>No silent/duplicate publishing</s:t>
        </s:is>
      </s:c>
      <s:c r="D11" s="13" t="inlineStr">
        <s:is>
          <s:t>Approval, idempotency, retries, reconciliation, 429/5xx/revoked token/DST scenarios pass.</s:t>
        </s:is>
      </s:c>
      <s:c r="E11" s="13">
        <s:f>COUNTIF('02_BACKLOG'!$N:$N,"*"&amp;A11&amp;"*")</s:f>
        <s:v>11</s:v>
      </s:c>
      <s:c r="F11" s="13">
        <s:f>COUNTIFS('02_BACKLOG'!$N:$N,"*"&amp;A11&amp;"*",'02_BACKLOG'!$L:$L,"&lt;&gt;Done",'02_BACKLOG'!$L:$L,"&lt;&gt;Deferred")</s:f>
        <s:v>11</s:v>
      </s:c>
      <s:c r="G11" s="19" t="inlineStr">
        <s:is>
          <s:t>In Progress</s:t>
        </s:is>
      </s:c>
      <s:c r="H11" s="19" t="inlineStr">
        <s:is>
          <s:t>docs/backlog-audit-2026-09-07.json</s:t>
        </s:is>
      </s:c>
      <s:c r="I11" s="19" t="inlineStr">
        <s:is>
          <s:t>2026-09-07: Manual calendar i provuar pa Meta; publisher në kod. Mungojnë live publish, retry/backoff, reconciler dhe worker fault matrix.</s:t>
        </s:is>
      </s:c>
    </s:row>
    <s:row r="12" ht="95.09999999999999" customHeight="1" s="48">
      <s:c r="A12" s="17" t="inlineStr">
        <s:is>
          <s:t>RG-08</s:t>
        </s:is>
      </s:c>
      <s:c r="B12" s="17" t="inlineStr">
        <s:is>
          <s:t>Billing &amp; Entitlements</s:t>
        </s:is>
      </s:c>
      <s:c r="C12" s="13" t="inlineStr">
        <s:is>
          <s:t>Commercial controls correct</s:t>
        </s:is>
      </s:c>
      <s:c r="D12" s="13" t="inlineStr">
        <s:is>
          <s:t>Webhook dedupe, subscription transitions, entitlement matrix and usage concurrency tests pass.</s:t>
        </s:is>
      </s:c>
      <s:c r="E12" s="13">
        <s:f>COUNTIF('02_BACKLOG'!$N:$N,"*"&amp;A12&amp;"*")</s:f>
        <s:v>15</s:v>
      </s:c>
      <s:c r="F12" s="13">
        <s:f>COUNTIFS('02_BACKLOG'!$N:$N,"*"&amp;A12&amp;"*",'02_BACKLOG'!$L:$L,"&lt;&gt;Done",'02_BACKLOG'!$L:$L,"&lt;&gt;Deferred")</s:f>
        <s:v>14</s:v>
      </s:c>
      <s:c r="G12" s="19" t="inlineStr">
        <s:is>
          <s:t>In Progress</s:t>
        </s:is>
      </s:c>
      <s:c r="H12" s="19" t="inlineStr">
        <s:is>
          <s:t>docs/backlog-audit-2026-09-07.json</s:t>
        </s:is>
      </s:c>
      <s:c r="I12" s="19" t="inlineStr">
        <s:is>
          <s:t>2026-09-07: Trial 72h dhe entitlements me prova PG; nuk ka checkout/subscriptions/billing webhooks/reservation ledger.</s:t>
        </s:is>
      </s:c>
    </s:row>
    <s:row r="13" ht="95.09999999999999" customHeight="1" s="48">
      <s:c r="A13" s="17" t="inlineStr">
        <s:is>
          <s:t>RG-09</s:t>
        </s:is>
      </s:c>
      <s:c r="B13" s="17" t="inlineStr">
        <s:is>
          <s:t>Privacy &amp; Data Governance</s:t>
        </s:is>
      </s:c>
      <s:c r="C13" s="13" t="inlineStr">
        <s:is>
          <s:t>User data lifecycle controlled</s:t>
        </s:is>
      </s:c>
      <s:c r="D13" s="13" t="inlineStr">
        <s:is>
          <s:t>Export/delete/retention paths tested and privacy decisions documented.</s:t>
        </s:is>
      </s:c>
      <s:c r="E13" s="13">
        <s:f>COUNTIF('02_BACKLOG'!$N:$N,"*"&amp;A13&amp;"*")</s:f>
        <s:v>6</s:v>
      </s:c>
      <s:c r="F13" s="13">
        <s:f>COUNTIFS('02_BACKLOG'!$N:$N,"*"&amp;A13&amp;"*",'02_BACKLOG'!$L:$L,"&lt;&gt;Done",'02_BACKLOG'!$L:$L,"&lt;&gt;Deferred")</s:f>
        <s:v>6</s:v>
      </s:c>
      <s:c r="G13" s="19" t="inlineStr">
        <s:is>
          <s:t>In Progress</s:t>
        </s:is>
      </s:c>
      <s:c r="H13" s="19" t="inlineStr">
        <s:is>
          <s:t>docs/backlog-audit-2026-09-07.json</s:t>
        </s:is>
      </s:c>
      <s:c r="I13" s="19" t="inlineStr">
        <s:is>
          <s:t>2026-09-07: Privacy UI dhe client JSON export; nuk ka durable export/purge/retention/provider deletion callback dhe legal acceptance.</s:t>
        </s:is>
      </s:c>
    </s:row>
    <s:row r="14" ht="95.09999999999999" customHeight="1" s="48">
      <s:c r="A14" s="17" t="inlineStr">
        <s:is>
          <s:t>RG-10</s:t>
        </s:is>
      </s:c>
      <s:c r="B14" s="17" t="inlineStr">
        <s:is>
          <s:t>Observability &amp; Operations</s:t>
        </s:is>
      </s:c>
      <s:c r="C14" s="13" t="inlineStr">
        <s:is>
          <s:t>System operable in production</s:t>
        </s:is>
      </s:c>
      <s:c r="D14" s="13" t="inlineStr">
        <s:is>
          <s:t>Trace correlation, dashboards, alerts and critical runbooks verified.</s:t>
        </s:is>
      </s:c>
      <s:c r="E14" s="13">
        <s:f>COUNTIF('02_BACKLOG'!$N:$N,"*"&amp;A14&amp;"*")</s:f>
        <s:v>11</s:v>
      </s:c>
      <s:c r="F14" s="13">
        <s:f>COUNTIFS('02_BACKLOG'!$N:$N,"*"&amp;A14&amp;"*",'02_BACKLOG'!$L:$L,"&lt;&gt;Done",'02_BACKLOG'!$L:$L,"&lt;&gt;Deferred")</s:f>
        <s:v>11</s:v>
      </s:c>
      <s:c r="G14" s="19" t="inlineStr">
        <s:is>
          <s:t>In Progress</s:t>
        </s:is>
      </s:c>
      <s:c r="H14" s="19" t="inlineStr">
        <s:is>
          <s:t>docs/backlog-audit-2026-09-07.json</s:t>
        </s:is>
      </s:c>
      <s:c r="I14" s="19" t="inlineStr">
        <s:is>
          <s:t>2026-09-07: Audit events/worker heartbeat bazë; pa OpenTelemetry/SLO dashboards/alerts/runbook drills.</s:t>
        </s:is>
      </s:c>
    </s:row>
    <s:row r="15" ht="95.09999999999999" customHeight="1" s="48">
      <s:c r="A15" s="17" t="inlineStr">
        <s:is>
          <s:t>RG-11</s:t>
        </s:is>
      </s:c>
      <s:c r="B15" s="17" t="inlineStr">
        <s:is>
          <s:t>Performance &amp; Capacity</s:t>
        </s:is>
      </s:c>
      <s:c r="C15" s="13" t="inlineStr">
        <s:is>
          <s:t>Launch load has headroom</s:t>
        </s:is>
      </s:c>
      <s:c r="D15" s="13" t="inlineStr">
        <s:is>
          <s:t>At least 3x expected launch load meets API/queue/scheduler targets or blocker fixed.</s:t>
        </s:is>
      </s:c>
      <s:c r="E15" s="13">
        <s:f>COUNTIF('02_BACKLOG'!$N:$N,"*"&amp;A15&amp;"*")</s:f>
        <s:v>6</s:v>
      </s:c>
      <s:c r="F15" s="13">
        <s:f>COUNTIFS('02_BACKLOG'!$N:$N,"*"&amp;A15&amp;"*",'02_BACKLOG'!$L:$L,"&lt;&gt;Done",'02_BACKLOG'!$L:$L,"&lt;&gt;Deferred")</s:f>
        <s:v>3</s:v>
      </s:c>
      <s:c r="G15" s="19" t="inlineStr">
        <s:is>
          <s:t>In Progress</s:t>
        </s:is>
      </s:c>
      <s:c r="H15" s="19" t="inlineStr">
        <s:is>
          <s:t>docs/backlog-audit-2026-09-07.json</s:t>
        </s:is>
      </s:c>
      <s:c r="I15" s="19" t="inlineStr">
        <s:is>
          <s:t>2026-09-07: Indekse/pool dhe budget script bazë; pa load 3x/EXPLAIN/Web Vitals aktual. Workspace fetch/PUT mbetet i plotë.</s:t>
        </s:is>
      </s:c>
    </s:row>
    <s:row r="16" ht="95.09999999999999" customHeight="1" s="48">
      <s:c r="A16" s="17" t="inlineStr">
        <s:is>
          <s:t>RG-12</s:t>
        </s:is>
      </s:c>
      <s:c r="B16" s="17" t="inlineStr">
        <s:is>
          <s:t>Security Release</s:t>
        </s:is>
      </s:c>
      <s:c r="C16" s="13" t="inlineStr">
        <s:is>
          <s:t>No known exploitable launch blocker</s:t>
        </s:is>
      </s:c>
      <s:c r="D16" s="13" t="inlineStr">
        <s:is>
          <s:t>ASVS/API security evidence complete; no unresolved critical/high exploitable finding.</s:t>
        </s:is>
      </s:c>
      <s:c r="E16" s="13">
        <s:f>COUNTIF('02_BACKLOG'!$N:$N,"*"&amp;A16&amp;"*")</s:f>
        <s:v>5</s:v>
      </s:c>
      <s:c r="F16" s="13">
        <s:f>COUNTIFS('02_BACKLOG'!$N:$N,"*"&amp;A16&amp;"*",'02_BACKLOG'!$L:$L,"&lt;&gt;Done",'02_BACKLOG'!$L:$L,"&lt;&gt;Deferred")</s:f>
        <s:v>5</s:v>
      </s:c>
      <s:c r="G16" s="19" t="inlineStr">
        <s:is>
          <s:t>In Progress</s:t>
        </s:is>
      </s:c>
      <s:c r="H16" s="19" t="inlineStr">
        <s:is>
          <s:t>docs/backlog-audit-2026-09-07.json</s:t>
        </s:is>
      </s:c>
      <s:c r="I16" s="19" t="inlineStr">
        <s:is>
          <s:t>2026-09-07: Disa auth/CSRF/token/media controls; mungon ASVS/security release review me scans aktuale.</s:t>
        </s:is>
      </s:c>
    </s:row>
    <s:row r="17" ht="95.09999999999999" customHeight="1" s="48">
      <s:c r="A17" s="17" t="inlineStr">
        <s:is>
          <s:t>RG-13</s:t>
        </s:is>
      </s:c>
      <s:c r="B17" s="17" t="inlineStr">
        <s:is>
          <s:t>Disaster Recovery</s:t>
        </s:is>
      </s:c>
      <s:c r="C17" s="13" t="inlineStr">
        <s:is>
          <s:t>Recoverability verified</s:t>
        </s:is>
      </s:c>
      <s:c r="D17" s="13" t="inlineStr">
        <s:is>
          <s:t>Backup/PITR configuration verified; restore exercise and publication reconciliation runbook complete.</s:t>
        </s:is>
      </s:c>
      <s:c r="E17" s="13">
        <s:f>COUNTIF('02_BACKLOG'!$N:$N,"*"&amp;A17&amp;"*")</s:f>
        <s:v>2</s:v>
      </s:c>
      <s:c r="F17" s="13">
        <s:f>COUNTIFS('02_BACKLOG'!$N:$N,"*"&amp;A17&amp;"*",'02_BACKLOG'!$L:$L,"&lt;&gt;Done",'02_BACKLOG'!$L:$L,"&lt;&gt;Deferred")</s:f>
        <s:v>2</s:v>
      </s:c>
      <s:c r="G17" s="19" t="inlineStr">
        <s:is>
          <s:t>Not Started</s:t>
        </s:is>
      </s:c>
      <s:c r="H17" s="19" t="inlineStr">
        <s:is>
          <s:t>docs/backlog-audit-2026-09-07.json</s:t>
        </s:is>
      </s:c>
      <s:c r="I17" s="19" t="inlineStr">
        <s:is>
          <s:t>2026-09-07: Nuk ka backup/PITR verification, restore exercise ose matje RPO/RTO.</s:t>
        </s:is>
      </s:c>
    </s:row>
    <s:row r="18" ht="95.09999999999999" customHeight="1" s="48">
      <s:c r="A18" s="17" t="inlineStr">
        <s:is>
          <s:t>RG-14</s:t>
        </s:is>
      </s:c>
      <s:c r="B18" s="17" t="inlineStr">
        <s:is>
          <s:t>Product Release</s:t>
        </s:is>
      </s:c>
      <s:c r="C18" s="13" t="inlineStr">
        <s:is>
          <s:t>Critical user journeys ready</s:t>
        </s:is>
      </s:c>
      <s:c r="D18" s="13" t="inlineStr">
        <s:is>
          <s:t>Critical desktop/mobile E2E, accessibility baseline, UAT and production smoke pass.</s:t>
        </s:is>
      </s:c>
      <s:c r="E18" s="13">
        <s:f>COUNTIF('02_BACKLOG'!$N:$N,"*"&amp;A18&amp;"*")</s:f>
        <s:v>40</s:v>
      </s:c>
      <s:c r="F18" s="13">
        <s:f>COUNTIFS('02_BACKLOG'!$N:$N,"*"&amp;A18&amp;"*",'02_BACKLOG'!$L:$L,"&lt;&gt;Done",'02_BACKLOG'!$L:$L,"&lt;&gt;Deferred")</s:f>
        <s:v>37</s:v>
      </s:c>
      <s:c r="G18" s="19" t="inlineStr">
        <s:is>
          <s:t>In Progress</s:t>
        </s:is>
      </s:c>
      <s:c r="H18" s="19" t="inlineStr">
        <s:is>
          <s:t>docs/backlog-audit-2026-09-07.json</s:t>
        </s:is>
      </s:c>
      <s:c r="I18" s="19" t="inlineStr">
        <s:is>
          <s:t>2026-09-07: 2 desktop/mobile calendar E2E green; suite e plotë aktuale, cross-browser/a11y/UAT/prod smoke nuk janë mbyllur.</s:t>
        </s:is>
      </s:c>
    </s:row>
    <s:row r="19" ht="95.09999999999999" customHeight="1" s="48">
      <s:c r="A19" s="17" t="inlineStr">
        <s:is>
          <s:t>RG-15</s:t>
        </s:is>
      </s:c>
      <s:c r="B19" s="17" t="inlineStr">
        <s:is>
          <s:t>Marketing Strategy &amp; Learning</s:t>
        </s:is>
      </s:c>
      <s:c r="C19" s="13" t="inlineStr">
        <s:is>
          <s:t>Strategy/campaign/learning loop is useful, grounded and traceable</s:t>
        </s:is>
      </s:c>
      <s:c r="D19" s="13" t="inlineStr">
        <s:is>
          <s:t>Versioned strategy + campaigns + learning metric refs; UAT approves usefulness; no silent strategy mutation.</s:t>
        </s:is>
      </s:c>
      <s:c r="E19" s="13">
        <s:f>COUNTIF('02_BACKLOG'!$N:$N,"*"&amp;A19&amp;"*")</s:f>
        <s:v>6</s:v>
      </s:c>
      <s:c r="F19" s="13">
        <s:f>COUNTIFS('02_BACKLOG'!$N:$N,"*"&amp;A19&amp;"*",'02_BACKLOG'!$L:$L,"&lt;&gt;Done",'02_BACKLOG'!$L:$L,"&lt;&gt;Deferred")</s:f>
        <s:v>0</s:v>
      </s:c>
      <s:c r="G19" s="19" t="inlineStr">
        <s:is>
          <s:t>Not Started</s:t>
        </s:is>
      </s:c>
      <s:c r="H19" s="19" t="inlineStr">
        <s:is>
          <s:t>docs/backlog-audit-2026-09-07.json</s:t>
        </s:is>
      </s:c>
      <s:c r="I19" s="19" t="inlineStr">
        <s:is>
          <s:t>2026-09-07: Strategy/campaign/learning deferred nga scope-i aktual. Gate nuk është Passed/Waived dhe rihapet me këto shërbime.</s:t>
        </s:is>
      </s:c>
    </s:row>
    <s:row r="20" ht="95.09999999999999" customHeight="1" s="48">
      <s:c r="A20" s="17" t="inlineStr">
        <s:is>
          <s:t>RG-16</s:t>
        </s:is>
      </s:c>
      <s:c r="B20" s="17" t="inlineStr">
        <s:is>
          <s:t>AI &amp; Brand Safety</s:t>
        </s:is>
      </s:c>
      <s:c r="C20" s="13" t="inlineStr">
        <s:is>
          <s:t>AI content cannot bypass factuality, vertical or policy controls</s:t>
        </s:is>
      </s:c>
      <s:c r="D20" s="13" t="inlineStr">
        <s:is>
          <s:t>Golden BLOCK/WARN fixtures green; prompt-injection suite green; commercial facts evidence-backed; override audited.</s:t>
        </s:is>
      </s:c>
      <s:c r="E20" s="13">
        <s:f>COUNTIF('02_BACKLOG'!$N:$N,"*"&amp;A20&amp;"*")</s:f>
        <s:v>13</s:v>
      </s:c>
      <s:c r="F20" s="13">
        <s:f>COUNTIFS('02_BACKLOG'!$N:$N,"*"&amp;A20&amp;"*",'02_BACKLOG'!$L:$L,"&lt;&gt;Done",'02_BACKLOG'!$L:$L,"&lt;&gt;Deferred")</s:f>
        <s:v>9</s:v>
      </s:c>
      <s:c r="G20" s="19" t="inlineStr">
        <s:is>
          <s:t>In Progress</s:t>
        </s:is>
      </s:c>
      <s:c r="H20" s="19" t="inlineStr">
        <s:is>
          <s:t>docs/backlog-audit-2026-09-07.json</s:t>
        </s:is>
      </s:c>
      <s:c r="I20" s="19" t="inlineStr">
        <s:is>
          <s:t>2026-09-07: Local content checks dhe structured captions; mungojnë vertical/golden/injection/claim-provenance/override tests.</s:t>
        </s:is>
      </s:c>
    </s:row>
    <s:row r="21" ht="95.09999999999999" customHeight="1" s="48">
      <s:c r="A21" s="17" t="inlineStr">
        <s:is>
          <s:t>RG-17</s:t>
        </s:is>
      </s:c>
      <s:c r="B21" s="17" t="inlineStr">
        <s:is>
          <s:t>Frontend Experience</s:t>
        </s:is>
      </s:c>
      <s:c r="C21" s="13" t="inlineStr">
        <s:is>
          <s:t>Modern, responsive, accessible and reliable product UX</s:t>
        </s:is>
      </s:c>
      <s:c r="D21" s="13" t="inlineStr">
        <s:is>
          <s:t>Critical pages responsive; autosave/fault states green; reduced motion/a11y/visual/performance evidence; no dead-end GA journeys.</s:t>
        </s:is>
      </s:c>
      <s:c r="E21" s="13">
        <s:f>COUNTIF('02_BACKLOG'!$N:$N,"*"&amp;A21&amp;"*")</s:f>
        <s:v>19</s:v>
      </s:c>
      <s:c r="F21" s="13">
        <s:f>COUNTIFS('02_BACKLOG'!$N:$N,"*"&amp;A21&amp;"*",'02_BACKLOG'!$L:$L,"&lt;&gt;Done",'02_BACKLOG'!$L:$L,"&lt;&gt;Deferred")</s:f>
        <s:v>17</s:v>
      </s:c>
      <s:c r="G21" s="19" t="inlineStr">
        <s:is>
          <s:t>In Progress</s:t>
        </s:is>
      </s:c>
      <s:c r="H21" s="19" t="inlineStr">
        <s:is>
          <s:t>docs/backlog-audit-2026-09-07.json</s:t>
        </s:is>
      </s:c>
      <s:c r="I21" s="19" t="inlineStr">
        <s:is>
          <s:t>2026-09-07: Nuxt UI/posts-focused UX dhe manual calendar funksional; fault/a11y/visual/performance/UAT acceptance mbetet.</s:t>
        </s:is>
      </s:c>
    </s:row>
    <s:row r="22" ht="95.09999999999999" customHeight="1" s="48">
      <s:c r="A22" s="17" t="inlineStr">
        <s:is>
          <s:t>RG-18</s:t>
        </s:is>
      </s:c>
      <s:c r="B22" s="17" t="inlineStr">
        <s:is>
          <s:t>Cost &amp; Platform Operations</s:t>
        </s:is>
      </s:c>
      <s:c r="C22" s="13" t="inlineStr">
        <s:is>
          <s:t>AI economics and operator controls cannot fail dangerously</s:t>
        </s:is>
      </s:c>
      <s:c r="D22" s="13" t="inlineStr">
        <s:is>
          <s:t>AI budgets/kill switch/anomaly alerts/admin APIs green; GA cost replay within approved plan envelope.</s:t>
        </s:is>
      </s:c>
      <s:c r="E22" s="13">
        <s:f>COUNTIF('02_BACKLOG'!$N:$N,"*"&amp;A22&amp;"*")</s:f>
        <s:v>6</s:v>
      </s:c>
      <s:c r="F22" s="13">
        <s:f>COUNTIFS('02_BACKLOG'!$N:$N,"*"&amp;A22&amp;"*",'02_BACKLOG'!$L:$L,"&lt;&gt;Done",'02_BACKLOG'!$L:$L,"&lt;&gt;Deferred")</s:f>
        <s:v>6</s:v>
      </s:c>
      <s:c r="G22" s="19" t="inlineStr">
        <s:is>
          <s:t>In Progress</s:t>
        </s:is>
      </s:c>
      <s:c r="H22" s="19" t="inlineStr">
        <s:is>
          <s:t>docs/backlog-audit-2026-09-07.json</s:t>
        </s:is>
      </s:c>
      <s:c r="I22" s="19" t="inlineStr">
        <s:is>
          <s:t>2026-09-07: Daily AI request cap/entitlements/env gating; mungojnë monetary budgets/anomaly/admin/audited flags/COGS replay.</s:t>
        </s:is>
      </s:c>
    </s:row>
    <s:row r="23" ht="95.09999999999999" customHeight="1" s="48">
      <s:c r="A23" s="17" t="inlineStr">
        <s:is>
          <s:t>RG-19</s:t>
        </s:is>
      </s:c>
      <s:c r="B23" s="17" t="inlineStr">
        <s:is>
          <s:t>Advanced Content Formats</s:t>
        </s:is>
      </s:c>
      <s:c r="C23" s="13" t="inlineStr">
        <s:is>
          <s:t>Growth formats remain capability-aware and publication-safe</s:t>
        </s:is>
      </s:c>
      <s:c r="D23" s="13" t="inlineStr">
        <s:is>
          <s:t>Carousel/video/story provider contracts, media validation, idempotency and UX capability fixtures green before enabling per format.</s:t>
        </s:is>
      </s:c>
      <s:c r="E23" s="13">
        <s:f>COUNTIF('02_BACKLOG'!$N:$N,"*"&amp;A23&amp;"*")</s:f>
        <s:v>11</s:v>
      </s:c>
      <s:c r="F23" s="13">
        <s:f>COUNTIFS('02_BACKLOG'!$N:$N,"*"&amp;A23&amp;"*",'02_BACKLOG'!$L:$L,"&lt;&gt;Done",'02_BACKLOG'!$L:$L,"&lt;&gt;Deferred")</s:f>
        <s:v>1</s:v>
      </s:c>
      <s:c r="G23" s="19" t="inlineStr">
        <s:is>
          <s:t>Not Started</s:t>
        </s:is>
      </s:c>
      <s:c r="H23" s="19" t="inlineStr">
        <s:is>
          <s:t>docs/backlog-audit-2026-09-07.json</s:t>
        </s:is>
      </s:c>
      <s:c r="I23" s="19" t="inlineStr">
        <s:is>
          <s:t>2026-09-07: Advanced media janë zgjerim deferred pas-GA. Static-only nuk provon carousel/video/story capability gate.</s:t>
        </s:is>
      </s:c>
    </s:row>
  </s:sheetData>
  <s:autoFilter ref="A4:I18"/>
  <s:mergeCells count="2">
    <s:mergeCell ref="A1:I1"/>
    <s:mergeCell ref="A2:I2"/>
  </s:mergeCells>
  <s:conditionalFormatting sqref="G5:G18">
    <s:cfRule type="expression" priority="1" dxfId="3">
      <s:formula>$G5="Passed"</s:formula>
    </s:cfRule>
    <s:cfRule type="expression" priority="2" dxfId="1">
      <s:formula>$G5="Blocked"</s:formula>
    </s:cfRule>
  </s:conditionalFormatting>
  <s:dataValidations count="1">
    <s:dataValidation sqref="G5:G23" showDropDown="0" showInputMessage="0" showErrorMessage="0" allowBlank="0" type="list">
      <s:formula1>"Not Started,In Progress,Blocked,Passed,Waived"</s:formula1>
    </s:dataValidation>
  </s:dataValidations>
  <s:hyperlinks>
    <s:hyperlink ref="H5" r:id="rId1"/>
    <s:hyperlink ref="H6" r:id="rId2"/>
    <s:hyperlink ref="H7" r:id="rId3"/>
    <s:hyperlink ref="H8" r:id="rId4"/>
    <s:hyperlink ref="H9" r:id="rId5"/>
    <s:hyperlink ref="H10" r:id="rId6"/>
    <s:hyperlink ref="H11" r:id="rId7"/>
    <s:hyperlink ref="H12" r:id="rId8"/>
    <s:hyperlink ref="H13" r:id="rId9"/>
    <s:hyperlink ref="H14" r:id="rId10"/>
    <s:hyperlink ref="H15" r:id="rId11"/>
    <s:hyperlink ref="H16" r:id="rId12"/>
    <s:hyperlink ref="H17" r:id="rId13"/>
    <s:hyperlink ref="H18" r:id="rId14"/>
    <s:hyperlink ref="H19" r:id="rId15"/>
    <s:hyperlink ref="H20" r:id="rId16"/>
    <s:hyperlink ref="H21" r:id="rId17"/>
    <s:hyperlink ref="H22" r:id="rId18"/>
    <s:hyperlink ref="H23" r:id="rId19"/>
  </s:hyperlinks>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6.xml><?xml version="1.0" encoding="utf-8"?>
<s:worksheet xmlns:s="http://schemas.openxmlformats.org/spreadsheetml/2006/main">
  <s:sheetPr>
    <s:tabColor rgb="FFF59E0B"/>
    <s:outlinePr summaryBelow="1" summaryRight="1"/>
    <s:pageSetUpPr fitToPage="1"/>
  </s:sheetPr>
  <s:dimension ref="A1:L20"/>
  <s:sheetViews>
    <s:sheetView showGridLines="0" zoomScale="90" workbookViewId="0">
      <s:pane ySplit="4" topLeftCell="A5" activePane="bottomLeft" state="frozen"/>
      <s:selection pane="bottomLeft" activeCell="A1" sqref="A1"/>
    </s:sheetView>
  </s:sheetViews>
  <s:sheetFormatPr baseColWidth="8" defaultRowHeight="15"/>
  <s:cols>
    <s:col width="10" customWidth="1" style="48" min="1" max="1"/>
    <s:col width="48" customWidth="1" style="48" min="2" max="2"/>
    <s:col width="20" customWidth="1" style="48" min="3" max="3"/>
    <s:col width="12" customWidth="1" style="48" min="4" max="4"/>
    <s:col width="10" customWidth="1" style="48" min="5" max="5"/>
    <s:col width="9" customWidth="1" style="48" min="6" max="6"/>
    <s:col width="12" customWidth="1" style="48" min="7" max="7"/>
    <s:col width="16" customWidth="1" style="48" min="8" max="8"/>
    <s:col width="58" customWidth="1" style="48" min="9" max="9"/>
    <s:col width="38" customWidth="1" style="48" min="10" max="10"/>
    <s:col width="12" customWidth="1" style="48" min="11" max="11"/>
    <s:col width="14" customWidth="1" style="48" min="12" max="12"/>
  </s:cols>
  <s:sheetData>
    <s:row r="1" ht="33.95" customHeight="1" s="48">
      <s:c r="A1" s="40" t="inlineStr">
        <s:is>
          <s:t>Risk Register</s:t>
        </s:is>
      </s:c>
    </s:row>
    <s:row r="2">
      <s:c r="A2" s="39" t="inlineStr">
        <s:is>
          <s:t>Probability/Impact use 1-5. Score is formula. Review risk weekly from S2 onward and before each production gate.</s:t>
        </s:is>
      </s:c>
    </s:row>
    <s:row r="3"/>
    <s:row r="4" ht="30" customHeight="1" s="48">
      <s:c r="A4" s="11" t="inlineStr">
        <s:is>
          <s:t>Risk ID</s:t>
        </s:is>
      </s:c>
      <s:c r="B4" s="11" t="inlineStr">
        <s:is>
          <s:t>Risk</s:t>
        </s:is>
      </s:c>
      <s:c r="C4" s="11" t="inlineStr">
        <s:is>
          <s:t>Category</s:t>
        </s:is>
      </s:c>
      <s:c r="D4" s="11" t="inlineStr">
        <s:is>
          <s:t>Probability</s:t>
        </s:is>
      </s:c>
      <s:c r="E4" s="11" t="inlineStr">
        <s:is>
          <s:t>Impact</s:t>
        </s:is>
      </s:c>
      <s:c r="F4" s="11" t="inlineStr">
        <s:is>
          <s:t>Score</s:t>
        </s:is>
      </s:c>
      <s:c r="G4" s="11" t="inlineStr">
        <s:is>
          <s:t>Level</s:t>
        </s:is>
      </s:c>
      <s:c r="H4" s="11" t="inlineStr">
        <s:is>
          <s:t>Owner</s:t>
        </s:is>
      </s:c>
      <s:c r="I4" s="11" t="inlineStr">
        <s:is>
          <s:t>Mitigation</s:t>
        </s:is>
      </s:c>
      <s:c r="J4" s="11" t="inlineStr">
        <s:is>
          <s:t>Trigger / Leading Indicator</s:t>
        </s:is>
      </s:c>
      <s:c r="K4" s="11" t="inlineStr">
        <s:is>
          <s:t>Status</s:t>
        </s:is>
      </s:c>
      <s:c r="L4" s="11" t="inlineStr">
        <s:is>
          <s:t>Review Date</s:t>
        </s:is>
      </s:c>
    </s:row>
    <s:row r="5" ht="48" customHeight="1" s="48">
      <s:c r="A5" s="12" t="inlineStr">
        <s:is>
          <s:t>R-01</s:t>
        </s:is>
      </s:c>
      <s:c r="B5" s="13" t="inlineStr">
        <s:is>
          <s:t>Meta app review / permission approval takes longer than engineering</s:t>
        </s:is>
      </s:c>
      <s:c r="C5" s="13" t="inlineStr">
        <s:is>
          <s:t>External Dependency</s:t>
        </s:is>
      </s:c>
      <s:c r="D5" s="19" t="n">
        <s:v>4</s:v>
      </s:c>
      <s:c r="E5" s="19" t="n">
        <s:v>5</s:v>
      </s:c>
      <s:c r="F5" s="13">
        <s:f>D5*E5</s:f>
        <s:v>20</s:v>
      </s:c>
      <s:c r="G5" s="13" t="str">
        <s:f>IF(F5&gt;=15,"Critical",IF(F5&gt;=10,"High",IF(F5&gt;=5,"Medium","Low")))</s:f>
        <s:v>Critical</s:v>
      </s:c>
      <s:c r="H5" s="13" t="inlineStr">
        <s:is>
          <s:t>Programmer A</s:t>
        </s:is>
      </s:c>
      <s:c r="I5" s="13" t="inlineStr">
        <s:is>
          <s:t>Start review evidence in S2; keep provider mocks/test accounts; make RG-04 explicit launch blocker.</s:t>
        </s:is>
      </s:c>
      <s:c r="J5" s="13" t="inlineStr">
        <s:is>
          <s:t>Review status has no progress by end S4.</s:t>
        </s:is>
      </s:c>
      <s:c r="K5" s="19" t="inlineStr">
        <s:is>
          <s:t>Open</s:t>
        </s:is>
      </s:c>
      <s:c r="L5" s="19" t="n"/>
    </s:row>
    <s:row r="6" ht="48" customHeight="1" s="48">
      <s:c r="A6" s="12" t="inlineStr">
        <s:is>
          <s:t>R-02</s:t>
        </s:is>
      </s:c>
      <s:c r="B6" s="13" t="inlineStr">
        <s:is>
          <s:t>Cross-tenant authorization defect</s:t>
        </s:is>
      </s:c>
      <s:c r="C6" s="13" t="inlineStr">
        <s:is>
          <s:t>Security</s:t>
        </s:is>
      </s:c>
      <s:c r="D6" s="19" t="n">
        <s:v>2</s:v>
      </s:c>
      <s:c r="E6" s="19" t="n">
        <s:v>5</s:v>
      </s:c>
      <s:c r="F6" s="13">
        <s:f>D6*E6</s:f>
        <s:v>10</s:v>
      </s:c>
      <s:c r="G6" s="13" t="str">
        <s:f>IF(F6&gt;=15,"Critical",IF(F6&gt;=10,"High",IF(F6&gt;=5,"Medium","Low")))</s:f>
        <s:v>High</s:v>
      </s:c>
      <s:c r="H6" s="13" t="inlineStr">
        <s:is>
          <s:t>Programmer A</s:t>
        </s:is>
      </s:c>
      <s:c r="I6" s="13" t="inlineStr">
        <s:is>
          <s:t>RLS + tenant context + centralized authz + generated negative tests.</s:t>
        </s:is>
      </s:c>
      <s:c r="J6" s="13" t="inlineStr">
        <s:is>
          <s:t>Any cross-tenant test or security finding fails.</s:t>
        </s:is>
      </s:c>
      <s:c r="K6" s="19" t="inlineStr">
        <s:is>
          <s:t>Open</s:t>
        </s:is>
      </s:c>
      <s:c r="L6" s="19" t="n"/>
    </s:row>
    <s:row r="7" ht="48" customHeight="1" s="48">
      <s:c r="A7" s="12" t="inlineStr">
        <s:is>
          <s:t>R-03</s:t>
        </s:is>
      </s:c>
      <s:c r="B7" s="13" t="inlineStr">
        <s:is>
          <s:t>AI creatives look generic or hallucinate facts</s:t>
        </s:is>
      </s:c>
      <s:c r="C7" s="13" t="inlineStr">
        <s:is>
          <s:t>Product/AI</s:t>
        </s:is>
      </s:c>
      <s:c r="D7" s="19" t="n">
        <s:v>3</s:v>
      </s:c>
      <s:c r="E7" s="19" t="n">
        <s:v>5</s:v>
      </s:c>
      <s:c r="F7" s="13">
        <s:f>D7*E7</s:f>
        <s:v>15</s:v>
      </s:c>
      <s:c r="G7" s="13" t="str">
        <s:f>IF(F7&gt;=15,"Critical",IF(F7&gt;=10,"High",IF(F7&gt;=5,"Medium","Low")))</s:f>
        <s:v>Critical</s:v>
      </s:c>
      <s:c r="H7" s="13" t="inlineStr">
        <s:is>
          <s:t>Programmer A</s:t>
        </s:is>
      </s:c>
      <s:c r="I7" s="13" t="inlineStr">
        <s:is>
          <s:t>Verified Business Brain, real-asset first, golden evals, deterministic critical text/logo, human approval.</s:t>
        </s:is>
      </s:c>
      <s:c r="J7" s="13" t="inlineStr">
        <s:is>
          <s:t>Approval rate &lt;60% or factual eval regression.</s:t>
        </s:is>
      </s:c>
      <s:c r="K7" s="19" t="inlineStr">
        <s:is>
          <s:t>Open</s:t>
        </s:is>
      </s:c>
      <s:c r="L7" s="19" t="n"/>
    </s:row>
    <s:row r="8" ht="48" customHeight="1" s="48">
      <s:c r="A8" s="12" t="inlineStr">
        <s:is>
          <s:t>R-04</s:t>
        </s:is>
      </s:c>
      <s:c r="B8" s="13" t="inlineStr">
        <s:is>
          <s:t>Publishing duplicates after timeout/retry</s:t>
        </s:is>
      </s:c>
      <s:c r="C8" s="13" t="inlineStr">
        <s:is>
          <s:t>Reliability</s:t>
        </s:is>
      </s:c>
      <s:c r="D8" s="19" t="n">
        <s:v>2</s:v>
      </s:c>
      <s:c r="E8" s="19" t="n">
        <s:v>5</s:v>
      </s:c>
      <s:c r="F8" s="13">
        <s:f>D8*E8</s:f>
        <s:v>10</s:v>
      </s:c>
      <s:c r="G8" s="13" t="str">
        <s:f>IF(F8&gt;=15,"Critical",IF(F8&gt;=10,"High",IF(F8&gt;=5,"Medium","Low")))</s:f>
        <s:v>High</s:v>
      </s:c>
      <s:c r="H8" s="13" t="inlineStr">
        <s:is>
          <s:t>Programmer A</s:t>
        </s:is>
      </s:c>
      <s:c r="I8" s="13" t="inlineStr">
        <s:is>
          <s:t>Idempotency keys, attempt ledger, remote reconciliation before retry.</s:t>
        </s:is>
      </s:c>
      <s:c r="J8" s="13" t="inlineStr">
        <s:is>
          <s:t>Duplicate in fault-injection or beta.</s:t>
        </s:is>
      </s:c>
      <s:c r="K8" s="19" t="inlineStr">
        <s:is>
          <s:t>Open</s:t>
        </s:is>
      </s:c>
      <s:c r="L8" s="19" t="n"/>
    </s:row>
    <s:row r="9" ht="48" customHeight="1" s="48">
      <s:c r="A9" s="12" t="inlineStr">
        <s:is>
          <s:t>R-05</s:t>
        </s:is>
      </s:c>
      <s:c r="B9" s="13" t="inlineStr">
        <s:is>
          <s:t>AI/image cost exceeds plan economics</s:t>
        </s:is>
      </s:c>
      <s:c r="C9" s="13" t="inlineStr">
        <s:is>
          <s:t>Commercial</s:t>
        </s:is>
      </s:c>
      <s:c r="D9" s="19" t="n">
        <s:v>3</s:v>
      </s:c>
      <s:c r="E9" s="19" t="n">
        <s:v>4</s:v>
      </s:c>
      <s:c r="F9" s="13">
        <s:f>D9*E9</s:f>
        <s:v>12</s:v>
      </s:c>
      <s:c r="G9" s="13" t="str">
        <s:f>IF(F9&gt;=15,"Critical",IF(F9&gt;=10,"High",IF(F9&gt;=5,"Medium","Low")))</s:f>
        <s:v>High</s:v>
      </s:c>
      <s:c r="H9" s="13" t="inlineStr">
        <s:is>
          <s:t>Programmer A</s:t>
        </s:is>
      </s:c>
      <s:c r="I9" s="13" t="inlineStr">
        <s:is>
          <s:t>Entitlements, reservation ledger, model routing, cost dashboards and hard caps.</s:t>
        </s:is>
      </s:c>
      <s:c r="J9" s="13" t="inlineStr">
        <s:is>
          <s:t>Variable AI COGS exceeds target for 2 weeks.</s:t>
        </s:is>
      </s:c>
      <s:c r="K9" s="19" t="inlineStr">
        <s:is>
          <s:t>Open</s:t>
        </s:is>
      </s:c>
      <s:c r="L9" s="19" t="n"/>
    </s:row>
    <s:row r="10" ht="48" customHeight="1" s="48">
      <s:c r="A10" s="12" t="inlineStr">
        <s:is>
          <s:t>R-06</s:t>
        </s:is>
      </s:c>
      <s:c r="B10" s="13" t="inlineStr">
        <s:is>
          <s:t>Two-person team over-engineers architecture</s:t>
        </s:is>
      </s:c>
      <s:c r="C10" s="13" t="inlineStr">
        <s:is>
          <s:t>Delivery</s:t>
        </s:is>
      </s:c>
      <s:c r="D10" s="19" t="n">
        <s:v>3</s:v>
      </s:c>
      <s:c r="E10" s="19" t="n">
        <s:v>4</s:v>
      </s:c>
      <s:c r="F10" s="13">
        <s:f>D10*E10</s:f>
        <s:v>12</s:v>
      </s:c>
      <s:c r="G10" s="13" t="str">
        <s:f>IF(F10&gt;=15,"Critical",IF(F10&gt;=10,"High",IF(F10&gt;=5,"Medium","Low")))</s:f>
        <s:v>High</s:v>
      </s:c>
      <s:c r="H10" s="13" t="inlineStr">
        <s:is>
          <s:t>Both</s:t>
        </s:is>
      </s:c>
      <s:c r="I10" s="13" t="inlineStr">
        <s:is>
          <s:t>Modular monolith, no Kubernetes/microservices, task DoR &lt;=16h, ADR trigger for scope changes.</s:t>
        </s:is>
      </s:c>
      <s:c r="J10" s="13" t="inlineStr">
        <s:is>
          <s:t>Sprint utilization &gt;95% with spillover twice.</s:t>
        </s:is>
      </s:c>
      <s:c r="K10" s="19" t="inlineStr">
        <s:is>
          <s:t>Open</s:t>
        </s:is>
      </s:c>
      <s:c r="L10" s="19" t="n"/>
    </s:row>
    <s:row r="11" ht="48" customHeight="1" s="48">
      <s:c r="A11" s="12" t="inlineStr">
        <s:is>
          <s:t>R-07</s:t>
        </s:is>
      </s:c>
      <s:c r="B11" s="13" t="inlineStr">
        <s:is>
          <s:t>Queue backlog at common posting times</s:t>
        </s:is>
      </s:c>
      <s:c r="C11" s="13" t="inlineStr">
        <s:is>
          <s:t>Scale</s:t>
        </s:is>
      </s:c>
      <s:c r="D11" s="19" t="n">
        <s:v>2</s:v>
      </s:c>
      <s:c r="E11" s="19" t="n">
        <s:v>4</s:v>
      </s:c>
      <s:c r="F11" s="13">
        <s:f>D11*E11</s:f>
        <s:v>8</s:v>
      </s:c>
      <s:c r="G11" s="13" t="str">
        <s:f>IF(F11&gt;=15,"Critical",IF(F11&gt;=10,"High",IF(F11&gt;=5,"Medium","Low")))</s:f>
        <s:v>Medium</s:v>
      </s:c>
      <s:c r="H11" s="13" t="inlineStr">
        <s:is>
          <s:t>Programmer A</s:t>
        </s:is>
      </s:c>
      <s:c r="I11" s="13" t="inlineStr">
        <s:is>
          <s:t>Queue age SLI, burst load tests, horizontal workers/concurrency controls.</s:t>
        </s:is>
      </s:c>
      <s:c r="J11" s="13" t="inlineStr">
        <s:is>
          <s:t>Oldest queue age &gt;2 min sustained.</s:t>
        </s:is>
      </s:c>
      <s:c r="K11" s="19" t="inlineStr">
        <s:is>
          <s:t>Open</s:t>
        </s:is>
      </s:c>
      <s:c r="L11" s="19" t="n"/>
    </s:row>
    <s:row r="12" ht="48" customHeight="1" s="48">
      <s:c r="A12" s="12" t="inlineStr">
        <s:is>
          <s:t>R-08</s:t>
        </s:is>
      </s:c>
      <s:c r="B12" s="13" t="inlineStr">
        <s:is>
          <s:t>Privacy/retention policy unresolved before launch</s:t>
        </s:is>
      </s:c>
      <s:c r="C12" s="13" t="inlineStr">
        <s:is>
          <s:t>Compliance</s:t>
        </s:is>
      </s:c>
      <s:c r="D12" s="19" t="n">
        <s:v>3</s:v>
      </s:c>
      <s:c r="E12" s="19" t="n">
        <s:v>4</s:v>
      </s:c>
      <s:c r="F12" s="13">
        <s:f>D12*E12</s:f>
        <s:v>12</s:v>
      </s:c>
      <s:c r="G12" s="13" t="str">
        <s:f>IF(F12&gt;=15,"Critical",IF(F12&gt;=10,"High",IF(F12&gt;=5,"Medium","Low")))</s:f>
        <s:v>High</s:v>
      </s:c>
      <s:c r="H12" s="13" t="inlineStr">
        <s:is>
          <s:t>Both</s:t>
        </s:is>
      </s:c>
      <s:c r="I12" s="13" t="inlineStr">
        <s:is>
          <s:t>Data inventory, minimization, DSR workflows and explicit legal/privacy review before public rollout.</s:t>
        </s:is>
      </s:c>
      <s:c r="J12" s="13" t="inlineStr">
        <s:is>
          <s:t>RG-09 decisions incomplete by S6.</s:t>
        </s:is>
      </s:c>
      <s:c r="K12" s="19" t="inlineStr">
        <s:is>
          <s:t>Open</s:t>
        </s:is>
      </s:c>
      <s:c r="L12" s="19" t="n"/>
    </s:row>
    <s:row r="13" ht="48" customHeight="1" s="48">
      <s:c r="A13" s="12" t="inlineStr">
        <s:is>
          <s:t>R-09</s:t>
        </s:is>
      </s:c>
      <s:c r="B13" s="13" t="inlineStr">
        <s:is>
          <s:t>Billing provider lacks required merchant/recurring capabilities for Kosovo entity</s:t>
        </s:is>
      </s:c>
      <s:c r="C13" s="13" t="inlineStr">
        <s:is>
          <s:t>External Dependency</s:t>
        </s:is>
      </s:c>
      <s:c r="D13" s="19" t="n">
        <s:v>3</s:v>
      </s:c>
      <s:c r="E13" s="19" t="n">
        <s:v>4</s:v>
      </s:c>
      <s:c r="F13" s="13">
        <s:f>D13*E13</s:f>
        <s:v>12</s:v>
      </s:c>
      <s:c r="G13" s="13" t="str">
        <s:f>IF(F13&gt;=15,"Critical",IF(F13&gt;=10,"High",IF(F13&gt;=5,"Medium","Low")))</s:f>
        <s:v>High</s:v>
      </s:c>
      <s:c r="H13" s="13" t="inlineStr">
        <s:is>
          <s:t>Programmer A</s:t>
        </s:is>
      </s:c>
      <s:c r="I13" s="13" t="inlineStr">
        <s:is>
          <s:t>ADR-013 provider selection based on actual merchant/legal capability; BillingGateway keeps core provider-neutral.</s:t>
        </s:is>
      </s:c>
      <s:c r="J13" s="13" t="inlineStr">
        <s:is>
          <s:t>No acceptable sandbox/merchant path by mid S5.</s:t>
        </s:is>
      </s:c>
      <s:c r="K13" s="19" t="inlineStr">
        <s:is>
          <s:t>Open</s:t>
        </s:is>
      </s:c>
      <s:c r="L13" s="19" t="n"/>
    </s:row>
    <s:row r="14" ht="48" customHeight="1" s="48">
      <s:c r="A14" s="12" t="inlineStr">
        <s:is>
          <s:t>R-10</s:t>
        </s:is>
      </s:c>
      <s:c r="B14" s="13" t="inlineStr">
        <s:is>
          <s:t>Provider API/version changes break connector</s:t>
        </s:is>
      </s:c>
      <s:c r="C14" s="13" t="inlineStr">
        <s:is>
          <s:t>Integration</s:t>
        </s:is>
      </s:c>
      <s:c r="D14" s="19" t="n">
        <s:v>2</s:v>
      </s:c>
      <s:c r="E14" s="19" t="n">
        <s:v>4</s:v>
      </s:c>
      <s:c r="F14" s="13">
        <s:f>D14*E14</s:f>
        <s:v>8</s:v>
      </s:c>
      <s:c r="G14" s="13" t="str">
        <s:f>IF(F14&gt;=15,"Critical",IF(F14&gt;=10,"High",IF(F14&gt;=5,"Medium","Low")))</s:f>
        <s:v>Medium</s:v>
      </s:c>
      <s:c r="H14" s="13" t="inlineStr">
        <s:is>
          <s:t>Programmer A</s:t>
        </s:is>
      </s:c>
      <s:c r="I14" s="13" t="inlineStr">
        <s:is>
          <s:t>Pinned API version, adapter contracts, capability model, staging test accounts and upgrade checklist.</s:t>
        </s:is>
      </s:c>
      <s:c r="J14" s="13" t="inlineStr">
        <s:is>
          <s:t>Provider deprecation notice or contract test fails.</s:t>
        </s:is>
      </s:c>
      <s:c r="K14" s="19" t="inlineStr">
        <s:is>
          <s:t>Open</s:t>
        </s:is>
      </s:c>
      <s:c r="L14" s="19" t="n"/>
    </s:row>
    <s:row r="15" ht="48" customHeight="1" s="48">
      <s:c r="A15" s="12" t="inlineStr">
        <s:is>
          <s:t>R-11</s:t>
        </s:is>
      </s:c>
      <s:c r="B15" s="13" t="inlineStr">
        <s:is>
          <s:t>UX becomes visually impressive but slower/harder to use</s:t>
        </s:is>
      </s:c>
      <s:c r="C15" s="13" t="inlineStr">
        <s:is>
          <s:t>Product/Frontend</s:t>
        </s:is>
      </s:c>
      <s:c r="D15" s="19" t="n">
        <s:v>3</s:v>
      </s:c>
      <s:c r="E15" s="19" t="n">
        <s:v>4</s:v>
      </s:c>
      <s:c r="F15" s="13">
        <s:f>D15*E15</s:f>
        <s:v>12</s:v>
      </s:c>
      <s:c r="G15" s="13" t="str">
        <s:f>IF(F15&gt;=15,"Critical",IF(F15&gt;=10,"High",IF(F15&gt;=5,"Medium","Low")))</s:f>
        <s:v>High</s:v>
      </s:c>
      <s:c r="H15" s="13" t="inlineStr">
        <s:is>
          <s:t>Programmer B</s:t>
        </s:is>
      </s:c>
      <s:c r="I15" s="13" t="inlineStr">
        <s:is>
          <s:t>Nuxt UI primitives, motion budget, reduced motion, performance gates, UAT task success.</s:t>
        </s:is>
      </s:c>
      <s:c r="J15" s="13" t="inlineStr">
        <s:is>
          <s:t>Web Vitals/UX regression or beta task completion drops.</s:t>
        </s:is>
      </s:c>
      <s:c r="K15" s="19" t="inlineStr">
        <s:is>
          <s:t>Open</s:t>
        </s:is>
      </s:c>
      <s:c r="L15" s="19" t="n"/>
    </s:row>
    <s:row r="16" ht="48" customHeight="1" s="48">
      <s:c r="A16" s="12" t="inlineStr">
        <s:is>
          <s:t>R-12</s:t>
        </s:is>
      </s:c>
      <s:c r="B16" s="13" t="inlineStr">
        <s:is>
          <s:t>AI strategy creates plausible but poor marketing advice</s:t>
        </s:is>
      </s:c>
      <s:c r="C16" s="13" t="inlineStr">
        <s:is>
          <s:t>AI/Product</s:t>
        </s:is>
      </s:c>
      <s:c r="D16" s="19" t="n">
        <s:v>3</s:v>
      </s:c>
      <s:c r="E16" s="19" t="n">
        <s:v>5</s:v>
      </s:c>
      <s:c r="F16" s="13">
        <s:f>D16*E16</s:f>
        <s:v>15</s:v>
      </s:c>
      <s:c r="G16" s="13" t="str">
        <s:f>IF(F16&gt;=15,"Critical",IF(F16&gt;=10,"High",IF(F16&gt;=5,"Medium","Low")))</s:f>
        <s:v>Critical</s:v>
      </s:c>
      <s:c r="H16" s="13" t="inlineStr">
        <s:is>
          <s:t>Programmer A</s:t>
        </s:is>
      </s:c>
      <s:c r="I16" s="13" t="inlineStr">
        <s:is>
          <s:t>Vertical golden sets, verified inputs, confidence/limitations, human activation and learning evidence.</s:t>
        </s:is>
      </s:c>
      <s:c r="J16" s="13" t="inlineStr">
        <s:is>
          <s:t>Strategy UAT/eval falls below threshold.</s:t>
        </s:is>
      </s:c>
      <s:c r="K16" s="19" t="inlineStr">
        <s:is>
          <s:t>Open</s:t>
        </s:is>
      </s:c>
      <s:c r="L16" s="19" t="n"/>
    </s:row>
    <s:row r="17" ht="48" customHeight="1" s="48">
      <s:c r="A17" s="12" t="inlineStr">
        <s:is>
          <s:t>R-13</s:t>
        </s:is>
      </s:c>
      <s:c r="B17" s="13" t="inlineStr">
        <s:is>
          <s:t>Prompt injection from imported social/web content</s:t>
        </s:is>
      </s:c>
      <s:c r="C17" s="13" t="inlineStr">
        <s:is>
          <s:t>Security/AI</s:t>
        </s:is>
      </s:c>
      <s:c r="D17" s="19" t="n">
        <s:v>3</s:v>
      </s:c>
      <s:c r="E17" s="19" t="n">
        <s:v>5</s:v>
      </s:c>
      <s:c r="F17" s="13">
        <s:f>D17*E17</s:f>
        <s:v>15</s:v>
      </s:c>
      <s:c r="G17" s="13" t="str">
        <s:f>IF(F17&gt;=15,"Critical",IF(F17&gt;=10,"High",IF(F17&gt;=5,"Medium","Low")))</s:f>
        <s:v>Critical</s:v>
      </s:c>
      <s:c r="H17" s="13" t="inlineStr">
        <s:is>
          <s:t>Programmer A</s:t>
        </s:is>
      </s:c>
      <s:c r="I17" s="13" t="inlineStr">
        <s:is>
          <s:t>Untrusted-content isolation, structured tools, allowlists, policy/domain validation.</s:t>
        </s:is>
      </s:c>
      <s:c r="J17" s="13" t="inlineStr">
        <s:is>
          <s:t>Adversarial fixture causes unauthorized action/policy change.</s:t>
        </s:is>
      </s:c>
      <s:c r="K17" s="19" t="inlineStr">
        <s:is>
          <s:t>Open</s:t>
        </s:is>
      </s:c>
      <s:c r="L17" s="19" t="n"/>
    </s:row>
    <s:row r="18" ht="48" customHeight="1" s="48">
      <s:c r="A18" s="12" t="inlineStr">
        <s:is>
          <s:t>R-14</s:t>
        </s:is>
      </s:c>
      <s:c r="B18" s="13" t="inlineStr">
        <s:is>
          <s:t>Animation/editor/chat dependencies inflate frontend bundle</s:t>
        </s:is>
      </s:c>
      <s:c r="C18" s="13" t="inlineStr">
        <s:is>
          <s:t>Performance</s:t>
        </s:is>
      </s:c>
      <s:c r="D18" s="19" t="n">
        <s:v>3</s:v>
      </s:c>
      <s:c r="E18" s="19" t="n">
        <s:v>3</s:v>
      </s:c>
      <s:c r="F18" s="13">
        <s:f>D18*E18</s:f>
        <s:v>9</s:v>
      </s:c>
      <s:c r="G18" s="13" t="str">
        <s:f>IF(F18&gt;=15,"Critical",IF(F18&gt;=10,"High",IF(F18&gt;=5,"Medium","Low")))</s:f>
        <s:v>Medium</s:v>
      </s:c>
      <s:c r="H18" s="13" t="inlineStr">
        <s:is>
          <s:t>Programmer B</s:t>
        </s:is>
      </s:c>
      <s:c r="I18" s="13" t="inlineStr">
        <s:is>
          <s:t>Lazy imports, route splitting, bundle budgets, isolate landing-only heavy visuals.</s:t>
        </s:is>
      </s:c>
      <s:c r="J18" s="13" t="inlineStr">
        <s:is>
          <s:t>GA route exceeds agreed JS/perf budget.</s:t>
        </s:is>
      </s:c>
      <s:c r="K18" s="19" t="inlineStr">
        <s:is>
          <s:t>Open</s:t>
        </s:is>
      </s:c>
      <s:c r="L18" s="19" t="n"/>
    </s:row>
    <s:row r="19" ht="48" customHeight="1" s="48">
      <s:c r="A19" s="12" t="inlineStr">
        <s:is>
          <s:t>R-15</s:t>
        </s:is>
      </s:c>
      <s:c r="B19" s="13" t="inlineStr">
        <s:is>
          <s:t>Advanced media formats introduce provider-specific coupling</s:t>
        </s:is>
      </s:c>
      <s:c r="C19" s="13" t="inlineStr">
        <s:is>
          <s:t>Architecture/Integration</s:t>
        </s:is>
      </s:c>
      <s:c r="D19" s="19" t="n">
        <s:v>3</s:v>
      </s:c>
      <s:c r="E19" s="19" t="n">
        <s:v>4</s:v>
      </s:c>
      <s:c r="F19" s="13">
        <s:f>D19*E19</s:f>
        <s:v>12</s:v>
      </s:c>
      <s:c r="G19" s="13" t="str">
        <s:f>IF(F19&gt;=15,"Critical",IF(F19&gt;=10,"High",IF(F19&gt;=5,"Medium","Low")))</s:f>
        <s:v>High</s:v>
      </s:c>
      <s:c r="H19" s="13" t="inlineStr">
        <s:is>
          <s:t>Programmer A</s:t>
        </s:is>
      </s:c>
      <s:c r="I19" s="13" t="inlineStr">
        <s:is>
          <s:t>ContentFormat + ChannelCapability registry and adapters; no provider types in domain.</s:t>
        </s:is>
      </s:c>
      <s:c r="J19" s="13" t="inlineStr">
        <s:is>
          <s:t>Format-specific branches spread outside adapter/domain policy.</s:t>
        </s:is>
      </s:c>
      <s:c r="K19" s="19" t="inlineStr">
        <s:is>
          <s:t>Open</s:t>
        </s:is>
      </s:c>
      <s:c r="L19" s="19" t="n"/>
    </s:row>
    <s:row r="20" ht="48" customHeight="1" s="48">
      <s:c r="A20" s="12" t="inlineStr">
        <s:is>
          <s:t>R-16</s:t>
        </s:is>
      </s:c>
      <s:c r="B20" s="13" t="inlineStr">
        <s:is>
          <s:t>Support/admin tooling exposes excessive tenant data</s:t>
        </s:is>
      </s:c>
      <s:c r="C20" s="13" t="inlineStr">
        <s:is>
          <s:t>Security/Ops</s:t>
        </s:is>
      </s:c>
      <s:c r="D20" s="19" t="n">
        <s:v>2</s:v>
      </s:c>
      <s:c r="E20" s="19" t="n">
        <s:v>5</s:v>
      </s:c>
      <s:c r="F20" s="13">
        <s:f>D20*E20</s:f>
        <s:v>10</s:v>
      </s:c>
      <s:c r="G20" s="13" t="str">
        <s:f>IF(F20&gt;=15,"Critical",IF(F20&gt;=10,"High",IF(F20&gt;=5,"Medium","Low")))</s:f>
        <s:v>High</s:v>
      </s:c>
      <s:c r="H20" s="13" t="inlineStr">
        <s:is>
          <s:t>Both</s:t>
        </s:is>
      </s:c>
      <s:c r="I20" s="13" t="inlineStr">
        <s:is>
          <s:t>Metadata-first admin APIs, no raw secrets, reasoned/audited actions, least privilege.</s:t>
        </s:is>
      </s:c>
      <s:c r="J20" s="13" t="inlineStr">
        <s:is>
          <s:t>Admin authz/privacy review finds sensitive unrestricted data.</s:t>
        </s:is>
      </s:c>
      <s:c r="K20" s="19" t="inlineStr">
        <s:is>
          <s:t>Open</s:t>
        </s:is>
      </s:c>
      <s:c r="L20" s="19" t="n"/>
    </s:row>
  </s:sheetData>
  <s:autoFilter ref="A4:L14"/>
  <s:mergeCells count="2">
    <s:mergeCell ref="A2:L2"/>
    <s:mergeCell ref="A1:L1"/>
  </s:mergeCells>
  <s:conditionalFormatting sqref="F5:F14">
    <s:cfRule type="cellIs" priority="1" operator="greaterThanOrEqual" dxfId="1">
      <s:formula>15</s:formula>
    </s:cfRule>
    <s:cfRule type="cellIs" priority="2" operator="between" dxfId="0">
      <s:formula>10</s:formula>
      <s:formula>14</s:formula>
    </s:cfRule>
  </s:conditionalFormatting>
  <s:dataValidations count="2">
    <s:dataValidation sqref="D5:E14" showDropDown="0" showInputMessage="0" showErrorMessage="0" allowBlank="0" type="whole">
      <s:formula1>1</s:formula1>
      <s:formula2>5</s:formula2>
    </s:dataValidation>
    <s:dataValidation sqref="K5:K14" showDropDown="0" showInputMessage="0" showErrorMessage="0" allowBlank="0" type="list">
      <s:formula1>"Open,Mitigating,Accepted,Closed"</s:formula1>
    </s:dataValidation>
  </s:dataValidations>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7.xml><?xml version="1.0" encoding="utf-8"?>
<s:worksheet xmlns:s="http://schemas.openxmlformats.org/spreadsheetml/2006/main">
  <s:sheetPr>
    <s:tabColor rgb="FF7C3AED"/>
    <s:outlinePr summaryBelow="1" summaryRight="1"/>
    <s:pageSetUpPr fitToPage="1"/>
  </s:sheetPr>
  <s:dimension ref="A1:F35"/>
  <s:sheetViews>
    <s:sheetView showGridLines="0" zoomScale="90" workbookViewId="0">
      <s:pane ySplit="4" topLeftCell="A5" activePane="bottomLeft" state="frozen"/>
      <s:selection pane="bottomLeft" activeCell="A1" sqref="A1"/>
    </s:sheetView>
  </s:sheetViews>
  <s:sheetFormatPr baseColWidth="8" defaultRowHeight="15"/>
  <s:cols>
    <s:col width="14" customWidth="1" style="48" min="1" max="1"/>
    <s:col width="58" customWidth="1" style="48" min="2" max="2"/>
    <s:col width="16" customWidth="1" style="48" min="3" max="3"/>
    <s:col width="44" customWidth="1" style="48" min="4" max="4"/>
    <s:col width="22" customWidth="1" style="48" min="5" max="5"/>
    <s:col width="42" customWidth="1" style="48" min="6" max="6"/>
  </s:cols>
  <s:sheetData>
    <s:row r="1" ht="33.95" customHeight="1" s="48">
      <s:c r="A1" s="40" t="inlineStr">
        <s:is>
          <s:t>Requirements -&gt; Design -&gt; Tasks -&gt; Release Gate Traceability</s:t>
        </s:is>
      </s:c>
    </s:row>
    <s:row r="2">
      <s:c r="A2" s="39" t="inlineStr">
        <s:is>
          <s:t>Use this sheet when a requirement, architecture invariant or release gate changes. It prevents silent gaps between design and implementation.</s:t>
        </s:is>
      </s:c>
    </s:row>
    <s:row r="3"/>
    <s:row r="4" ht="30" customHeight="1" s="48">
      <s:c r="A4" s="11" t="inlineStr">
        <s:is>
          <s:t>Requirement ID</s:t>
        </s:is>
      </s:c>
      <s:c r="B4" s="11" t="inlineStr">
        <s:is>
          <s:t>Requirement / Invariant</s:t>
        </s:is>
      </s:c>
      <s:c r="C4" s="11" t="inlineStr">
        <s:is>
          <s:t>DOCX Section</s:t>
        </s:is>
      </s:c>
      <s:c r="D4" s="11" t="inlineStr">
        <s:is>
          <s:t>Task IDs</s:t>
        </s:is>
      </s:c>
      <s:c r="E4" s="11" t="inlineStr">
        <s:is>
          <s:t>Release Gate</s:t>
        </s:is>
      </s:c>
      <s:c r="F4" s="11" t="inlineStr">
        <s:is>
          <s:t>Verification Evidence</s:t>
        </s:is>
      </s:c>
    </s:row>
    <s:row r="5" ht="42" customHeight="1" s="48">
      <s:c r="A5" s="17" t="inlineStr">
        <s:is>
          <s:t>REQ-001</s:t>
        </s:is>
      </s:c>
      <s:c r="B5" s="13" t="inlineStr">
        <s:is>
          <s:t>Organization is tenant/billing/security boundary</s:t>
        </s:is>
      </s:c>
      <s:c r="C5" s="18" t="inlineStr">
        <s:is>
          <s:t>3, 7</s:t>
        </s:is>
      </s:c>
      <s:c r="D5" s="13" t="inlineStr">
        <s:is>
          <s:t>S0-A05;S1-A01;S1-A09</s:t>
        </s:is>
      </s:c>
      <s:c r="E5" s="18" t="inlineStr">
        <s:is>
          <s:t>RG-02</s:t>
        </s:is>
      </s:c>
      <s:c r="F5" s="13" t="inlineStr">
        <s:is>
          <s:t>Cross-tenant RLS/API negative suite</s:t>
        </s:is>
      </s:c>
    </s:row>
    <s:row r="6" ht="42" customHeight="1" s="48">
      <s:c r="A6" s="17" t="inlineStr">
        <s:is>
          <s:t>REQ-002</s:t>
        </s:is>
      </s:c>
      <s:c r="B6" s="13" t="inlineStr">
        <s:is>
          <s:t>Central RBAC plus brand scope; UI never authoritative</s:t>
        </s:is>
      </s:c>
      <s:c r="C6" s="18" t="inlineStr">
        <s:is>
          <s:t>3, 8</s:t>
        </s:is>
      </s:c>
      <s:c r="D6" s="13" t="inlineStr">
        <s:is>
          <s:t>S1-A03;S1-A04;S1-B05</s:t>
        </s:is>
      </s:c>
      <s:c r="E6" s="18" t="inlineStr">
        <s:is>
          <s:t>RG-03</s:t>
        </s:is>
      </s:c>
      <s:c r="F6" s="13" t="inlineStr">
        <s:is>
          <s:t>Role matrix + brand-scope E2E</s:t>
        </s:is>
      </s:c>
    </s:row>
    <s:row r="7" ht="42" customHeight="1" s="48">
      <s:c r="A7" s="17" t="inlineStr">
        <s:is>
          <s:t>REQ-003</s:t>
        </s:is>
      </s:c>
      <s:c r="B7" s="13" t="inlineStr">
        <s:is>
          <s:t>Social tokens encrypted and never exposed to browser/logs</s:t>
        </s:is>
      </s:c>
      <s:c r="C7" s="18" t="inlineStr">
        <s:is>
          <s:t>8, 9</s:t>
        </s:is>
      </s:c>
      <s:c r="D7" s="13" t="inlineStr">
        <s:is>
          <s:t>S2-A05;S6-A08</s:t>
        </s:is>
      </s:c>
      <s:c r="E7" s="18" t="inlineStr">
        <s:is>
          <s:t>RG-04;RG-12</s:t>
        </s:is>
      </s:c>
      <s:c r="F7" s="13" t="inlineStr">
        <s:is>
          <s:t>OAuth security + log review</s:t>
        </s:is>
      </s:c>
    </s:row>
    <s:row r="8" ht="42" customHeight="1" s="48">
      <s:c r="A8" s="17" t="inlineStr">
        <s:is>
          <s:t>REQ-004</s:t>
        </s:is>
      </s:c>
      <s:c r="B8" s="13" t="inlineStr">
        <s:is>
          <s:t>Meta connector capability-aware and versioned</s:t>
        </s:is>
      </s:c>
      <s:c r="C8" s="18" t="inlineStr">
        <s:is>
          <s:t>9</s:t>
        </s:is>
      </s:c>
      <s:c r="D8" s="13" t="inlineStr">
        <s:is>
          <s:t>S2-A04;S2-A06;S6-A09</s:t>
        </s:is>
      </s:c>
      <s:c r="E8" s="18" t="inlineStr">
        <s:is>
          <s:t>RG-04</s:t>
        </s:is>
      </s:c>
      <s:c r="F8" s="13" t="inlineStr">
        <s:is>
          <s:t>Adapter contract + live eligible account smoke</s:t>
        </s:is>
      </s:c>
    </s:row>
    <s:row r="9" ht="42" customHeight="1" s="48">
      <s:c r="A9" s="17" t="inlineStr">
        <s:is>
          <s:t>REQ-005</s:t>
        </s:is>
      </s:c>
      <s:c r="B9" s="13" t="inlineStr">
        <s:is>
          <s:t>Gallery originals private; uploads sanitized</s:t>
        </s:is>
      </s:c>
      <s:c r="C9" s="18" t="inlineStr">
        <s:is>
          <s:t>12</s:t>
        </s:is>
      </s:c>
      <s:c r="D9" s="13" t="inlineStr">
        <s:is>
          <s:t>S2-A01;S2-A02;S2-A03</s:t>
        </s:is>
      </s:c>
      <s:c r="E9" s="18" t="inlineStr">
        <s:is>
          <s:t>RG-05</s:t>
        </s:is>
      </s:c>
      <s:c r="F9" s="13" t="inlineStr">
        <s:is>
          <s:t>Upload security fixtures</s:t>
        </s:is>
      </s:c>
    </s:row>
    <s:row r="10" ht="42" customHeight="1" s="48">
      <s:c r="A10" s="17" t="inlineStr">
        <s:is>
          <s:t>REQ-006</s:t>
        </s:is>
      </s:c>
      <s:c r="B10" s="13" t="inlineStr">
        <s:is>
          <s:t>Business Brain facts have provenance and verification state</s:t>
        </s:is>
      </s:c>
      <s:c r="C10" s="18" t="inlineStr">
        <s:is>
          <s:t>10</s:t>
        </s:is>
      </s:c>
      <s:c r="D10" s="13" t="inlineStr">
        <s:is>
          <s:t>S1-A06;S3-A04;S3-A05</s:t>
        </s:is>
      </s:c>
      <s:c r="E10" s="18" t="inlineStr">
        <s:is>
          <s:t>RG-06</s:t>
        </s:is>
      </s:c>
      <s:c r="F10" s="13" t="inlineStr">
        <s:is>
          <s:t>Fact lifecycle + evidence tests</s:t>
        </s:is>
      </s:c>
    </s:row>
    <s:row r="11" ht="42" customHeight="1" s="48">
      <s:c r="A11" s="17" t="inlineStr">
        <s:is>
          <s:t>REQ-007</s:t>
        </s:is>
      </s:c>
      <s:c r="B11" s="13" t="inlineStr">
        <s:is>
          <s:t>AI model/provider hidden behind capability routing</s:t>
        </s:is>
      </s:c>
      <s:c r="C11" s="18" t="inlineStr">
        <s:is>
          <s:t>11</s:t>
        </s:is>
      </s:c>
      <s:c r="D11" s="13" t="inlineStr">
        <s:is>
          <s:t>S3-A01;S3-A02</s:t>
        </s:is>
      </s:c>
      <s:c r="E11" s="18" t="inlineStr">
        <s:is>
          <s:t>RG-06</s:t>
        </s:is>
      </s:c>
      <s:c r="F11" s="13" t="inlineStr">
        <s:is>
          <s:t>Adapter contract + prompt/model promotion</s:t>
        </s:is>
      </s:c>
    </s:row>
    <s:row r="12" ht="42" customHeight="1" s="48">
      <s:c r="A12" s="17" t="inlineStr">
        <s:is>
          <s:t>REQ-008</s:t>
        </s:is>
      </s:c>
      <s:c r="B12" s="13" t="inlineStr">
        <s:is>
          <s:t>Commercial claims cannot use unverified facts</s:t>
        </s:is>
      </s:c>
      <s:c r="C12" s="18" t="inlineStr">
        <s:is>
          <s:t>10-13</s:t>
        </s:is>
      </s:c>
      <s:c r="D12" s="13" t="inlineStr">
        <s:is>
          <s:t>S3-A05;S3-A08;S3-A10;S3-B08</s:t>
        </s:is>
      </s:c>
      <s:c r="E12" s="18" t="inlineStr">
        <s:is>
          <s:t>RG-06</s:t>
        </s:is>
      </s:c>
      <s:c r="F12" s="13" t="inlineStr">
        <s:is>
          <s:t>Golden factuality eval + review provenance</s:t>
        </s:is>
      </s:c>
    </s:row>
    <s:row r="13" ht="42" customHeight="1" s="48">
      <s:c r="A13" s="17" t="inlineStr">
        <s:is>
          <s:t>REQ-009</s:t>
        </s:is>
      </s:c>
      <s:c r="B13" s="13" t="inlineStr">
        <s:is>
          <s:t>Content publishable versions are immutable</s:t>
        </s:is>
      </s:c>
      <s:c r="C13" s="18" t="inlineStr">
        <s:is>
          <s:t>13</s:t>
        </s:is>
      </s:c>
      <s:c r="D13" s="13" t="inlineStr">
        <s:is>
          <s:t>S3-A07;S4-A01</s:t>
        </s:is>
      </s:c>
      <s:c r="E13" s="18" t="inlineStr">
        <s:is>
          <s:t>RG-06;RG-07</s:t>
        </s:is>
      </s:c>
      <s:c r="F13" s="13" t="inlineStr">
        <s:is>
          <s:t>Version/state tests</s:t>
        </s:is>
      </s:c>
    </s:row>
    <s:row r="14" ht="42" customHeight="1" s="48">
      <s:c r="A14" s="17" t="inlineStr">
        <s:is>
          <s:t>REQ-010</s:t>
        </s:is>
      </s:c>
      <s:c r="B14" s="13" t="inlineStr">
        <s:is>
          <s:t>Publishing is approval-aware, idempotent and reconciled</s:t>
        </s:is>
      </s:c>
      <s:c r="C14" s="18" t="inlineStr">
        <s:is>
          <s:t>13-14</s:t>
        </s:is>
      </s:c>
      <s:c r="D14" s="13" t="inlineStr">
        <s:is>
          <s:t>S4-A01;S4-A04;S4-A06;S4-A07;S4-A09</s:t>
        </s:is>
      </s:c>
      <s:c r="E14" s="18" t="inlineStr">
        <s:is>
          <s:t>RG-07</s:t>
        </s:is>
      </s:c>
      <s:c r="F14" s="13" t="inlineStr">
        <s:is>
          <s:t>Fault-injection publishing suite</s:t>
        </s:is>
      </s:c>
    </s:row>
    <s:row r="15" ht="42" customHeight="1" s="48">
      <s:c r="A15" s="17" t="inlineStr">
        <s:is>
          <s:t>REQ-011</s:t>
        </s:is>
      </s:c>
      <s:c r="B15" s="13" t="inlineStr">
        <s:is>
          <s:t>Async side effects use outbox/durable queue</s:t>
        </s:is>
      </s:c>
      <s:c r="C15" s="18" t="inlineStr">
        <s:is>
          <s:t>14, 18</s:t>
        </s:is>
      </s:c>
      <s:c r="D15" s="13" t="inlineStr">
        <s:is>
          <s:t>S0-A08;S4-A03</s:t>
        </s:is>
      </s:c>
      <s:c r="E15" s="18" t="inlineStr">
        <s:is>
          <s:t>RG-01;RG-07</s:t>
        </s:is>
      </s:c>
      <s:c r="F15" s="13" t="inlineStr">
        <s:is>
          <s:t>Crash/duplicate queue tests</s:t>
        </s:is>
      </s:c>
    </s:row>
    <s:row r="16" ht="42" customHeight="1" s="48">
      <s:c r="A16" s="17" t="inlineStr">
        <s:is>
          <s:t>REQ-012</s:t>
        </s:is>
      </s:c>
      <s:c r="B16" s="13" t="inlineStr">
        <s:is>
          <s:t>Entitlements centralized; no plan-name conditionals</s:t>
        </s:is>
      </s:c>
      <s:c r="C16" s="18" t="inlineStr">
        <s:is>
          <s:t>16</s:t>
        </s:is>
      </s:c>
      <s:c r="D16" s="13" t="inlineStr">
        <s:is>
          <s:t>S1-A07;S5-A06;S5-B06</s:t>
        </s:is>
      </s:c>
      <s:c r="E16" s="18" t="inlineStr">
        <s:is>
          <s:t>RG-08</s:t>
        </s:is>
      </s:c>
      <s:c r="F16" s="13" t="inlineStr">
        <s:is>
          <s:t>Entitlement matrix</s:t>
        </s:is>
      </s:c>
    </s:row>
    <s:row r="17" ht="42" customHeight="1" s="48">
      <s:c r="A17" s="17" t="inlineStr">
        <s:is>
          <s:t>REQ-013</s:t>
        </s:is>
      </s:c>
      <s:c r="B17" s="13" t="inlineStr">
        <s:is>
          <s:t>Usage ledger controls expensive AI operations</s:t>
        </s:is>
      </s:c>
      <s:c r="C17" s="18" t="inlineStr">
        <s:is>
          <s:t>16</s:t>
        </s:is>
      </s:c>
      <s:c r="D17" s="13" t="inlineStr">
        <s:is>
          <s:t>S5-A07;S5-B05</s:t>
        </s:is>
      </s:c>
      <s:c r="E17" s="18" t="inlineStr">
        <s:is>
          <s:t>RG-08</s:t>
        </s:is>
      </s:c>
      <s:c r="F17" s="13" t="inlineStr">
        <s:is>
          <s:t>Concurrent reserve/commit/release tests</s:t>
        </s:is>
      </s:c>
    </s:row>
    <s:row r="18" ht="42" customHeight="1" s="48">
      <s:c r="A18" s="17" t="inlineStr">
        <s:is>
          <s:t>REQ-014</s:t>
        </s:is>
      </s:c>
      <s:c r="B18" s="13" t="inlineStr">
        <s:is>
          <s:t>Observability includes traces, queue/publish/AI health and runbooks</s:t>
        </s:is>
      </s:c>
      <s:c r="C18" s="18" t="inlineStr">
        <s:is>
          <s:t>20</s:t>
        </s:is>
      </s:c>
      <s:c r="D18" s="13" t="inlineStr">
        <s:is>
          <s:t>S6-A01;S6-A02;S6-A03</s:t>
        </s:is>
      </s:c>
      <s:c r="E18" s="18" t="inlineStr">
        <s:is>
          <s:t>RG-10</s:t>
        </s:is>
      </s:c>
      <s:c r="F18" s="13" t="inlineStr">
        <s:is>
          <s:t>Staging trace and alert drill</s:t>
        </s:is>
      </s:c>
    </s:row>
    <s:row r="19" ht="42" customHeight="1" s="48">
      <s:c r="A19" s="17" t="inlineStr">
        <s:is>
          <s:t>REQ-015</s:t>
        </s:is>
      </s:c>
      <s:c r="B19" s="13" t="inlineStr">
        <s:is>
          <s:t>CI includes RLS/security/contracts/E2E/AI eval gates</s:t>
        </s:is>
      </s:c>
      <s:c r="C19" s="18" t="inlineStr">
        <s:is>
          <s:t>22-23</s:t>
        </s:is>
      </s:c>
      <s:c r="D19" s="13" t="inlineStr">
        <s:is>
          <s:t>S0-A09;S0-B07;S3-A10;S4-B08</s:t>
        </s:is>
      </s:c>
      <s:c r="E19" s="18" t="inlineStr">
        <s:is>
          <s:t>RG-01;RG-02;RG-06;RG-14</s:t>
        </s:is>
      </s:c>
      <s:c r="F19" s="13" t="inlineStr">
        <s:is>
          <s:t>Required PR workflows</s:t>
        </s:is>
      </s:c>
    </s:row>
    <s:row r="20" ht="42" customHeight="1" s="48">
      <s:c r="A20" s="17" t="inlineStr">
        <s:is>
          <s:t>REQ-016</s:t>
        </s:is>
      </s:c>
      <s:c r="B20" s="13" t="inlineStr">
        <s:is>
          <s:t>Privacy export and deletion are durable/audited</s:t>
        </s:is>
      </s:c>
      <s:c r="C20" s="18" t="inlineStr">
        <s:is>
          <s:t>24</s:t>
        </s:is>
      </s:c>
      <s:c r="D20" s="13" t="inlineStr">
        <s:is>
          <s:t>S6-A04;S6-A05</s:t>
        </s:is>
      </s:c>
      <s:c r="E20" s="18" t="inlineStr">
        <s:is>
          <s:t>RG-09</s:t>
        </s:is>
      </s:c>
      <s:c r="F20" s="13" t="inlineStr">
        <s:is>
          <s:t>DSR E2E + purge resume tests</s:t>
        </s:is>
      </s:c>
    </s:row>
    <s:row r="21" ht="42" customHeight="1" s="48">
      <s:c r="A21" s="17" t="inlineStr">
        <s:is>
          <s:t>REQ-017</s:t>
        </s:is>
      </s:c>
      <s:c r="B21" s="13" t="inlineStr">
        <s:is>
          <s:t>Launch performance verified at 3x forecast</s:t>
        </s:is>
      </s:c>
      <s:c r="C21" s="18" t="inlineStr">
        <s:is>
          <s:t>25</s:t>
        </s:is>
      </s:c>
      <s:c r="D21" s="13" t="inlineStr">
        <s:is>
          <s:t>S5-A09;S6-A07</s:t>
        </s:is>
      </s:c>
      <s:c r="E21" s="18" t="inlineStr">
        <s:is>
          <s:t>RG-11</s:t>
        </s:is>
      </s:c>
      <s:c r="F21" s="13" t="inlineStr">
        <s:is>
          <s:t>Load test report</s:t>
        </s:is>
      </s:c>
    </s:row>
    <s:row r="22" ht="42" customHeight="1" s="48">
      <s:c r="A22" s="17" t="inlineStr">
        <s:is>
          <s:t>REQ-018</s:t>
        </s:is>
      </s:c>
      <s:c r="B22" s="13" t="inlineStr">
        <s:is>
          <s:t>Backup/PITR restore exercise before launch</s:t>
        </s:is>
      </s:c>
      <s:c r="C22" s="18" t="inlineStr">
        <s:is>
          <s:t>26</s:t>
        </s:is>
      </s:c>
      <s:c r="D22" s="13" t="inlineStr">
        <s:is>
          <s:t>S8-A01</s:t>
        </s:is>
      </s:c>
      <s:c r="E22" s="18" t="inlineStr">
        <s:is>
          <s:t>RG-13</s:t>
        </s:is>
      </s:c>
      <s:c r="F22" s="13" t="inlineStr">
        <s:is>
          <s:t>Restore evidence</s:t>
        </s:is>
      </s:c>
    </s:row>
    <s:row r="23" ht="42" customHeight="1" s="48">
      <s:c r="A23" s="17" t="inlineStr">
        <s:is>
          <s:t>REQ-019</s:t>
        </s:is>
      </s:c>
      <s:c r="B23" s="13" t="inlineStr">
        <s:is>
          <s:t>Final security review aligns to ASVS 5.0/API Top 10</s:t>
        </s:is>
      </s:c>
      <s:c r="C23" s="18" t="inlineStr">
        <s:is>
          <s:t>8, 27</s:t>
        </s:is>
      </s:c>
      <s:c r="D23" s="13" t="inlineStr">
        <s:is>
          <s:t>S5-A08;S8-A02</s:t>
        </s:is>
      </s:c>
      <s:c r="E23" s="18" t="inlineStr">
        <s:is>
          <s:t>RG-12</s:t>
        </s:is>
      </s:c>
      <s:c r="F23" s="13" t="inlineStr">
        <s:is>
          <s:t>Security release report</s:t>
        </s:is>
      </s:c>
    </s:row>
    <s:row r="24" ht="42" customHeight="1" s="48">
      <s:c r="A24" s="17" t="inlineStr">
        <s:is>
          <s:t>REQ-020</s:t>
        </s:is>
      </s:c>
      <s:c r="B24" s="13" t="inlineStr">
        <s:is>
          <s:t>Product critical journeys pass UAT, a11y and production smoke</s:t>
        </s:is>
      </s:c>
      <s:c r="C24" s="18" t="inlineStr">
        <s:is>
          <s:t>28-30</s:t>
        </s:is>
      </s:c>
      <s:c r="D24" s="13" t="inlineStr">
        <s:is>
          <s:t>S8-B01;S8-B02;S8-B03;S8-B04</s:t>
        </s:is>
      </s:c>
      <s:c r="E24" s="18" t="inlineStr">
        <s:is>
          <s:t>RG-14</s:t>
        </s:is>
      </s:c>
      <s:c r="F24" s="13" t="inlineStr">
        <s:is>
          <s:t>E2E/a11y/UAT/smoke evidence</s:t>
        </s:is>
      </s:c>
    </s:row>
    <s:row r="25" ht="42" customHeight="1" s="48">
      <s:c r="A25" s="17" t="inlineStr">
        <s:is>
          <s:t>REQ-021</s:t>
        </s:is>
      </s:c>
      <s:c r="B25" s="13" t="inlineStr">
        <s:is>
          <s:t>Nuxt UI v4 is primary UI primitive system; motion purposeful and reduced-motion safe</s:t>
        </s:is>
      </s:c>
      <s:c r="C25" s="18" t="inlineStr">
        <s:is>
          <s:t>35-36</s:t>
        </s:is>
      </s:c>
      <s:c r="D25" s="13" t="inlineStr">
        <s:is>
          <s:t>S0-B02;S8-B14;S8-B10;S8-B11</s:t>
        </s:is>
      </s:c>
      <s:c r="E25" s="18" t="inlineStr">
        <s:is>
          <s:t>RG-17</s:t>
        </s:is>
      </s:c>
      <s:c r="F25" s="13" t="inlineStr">
        <s:is>
          <s:t>Component/visual/performance/a11y evidence</s:t>
        </s:is>
      </s:c>
    </s:row>
    <s:row r="26" ht="42" customHeight="1" s="48">
      <s:c r="A26" s="17" t="inlineStr">
        <s:is>
          <s:t>REQ-022</s:t>
        </s:is>
      </s:c>
      <s:c r="B26" s="13" t="inlineStr">
        <s:is>
          <s:t>Default dashboard is actionable Marketing HQ, not vanity analytics</s:t>
        </s:is>
      </s:c>
      <s:c r="C26" s="18" t="inlineStr">
        <s:is>
          <s:t>38</s:t>
        </s:is>
      </s:c>
      <s:c r="D26" s="13" t="inlineStr">
        <s:is>
          <s:t>S6-B10;S10-B05</s:t>
        </s:is>
      </s:c>
      <s:c r="E26" s="18" t="inlineStr">
        <s:is>
          <s:t>RG-17</s:t>
        </s:is>
      </s:c>
      <s:c r="F26" s="13" t="inlineStr">
        <s:is>
          <s:t>UAT + activation/next-action telemetry</s:t>
        </s:is>
      </s:c>
    </s:row>
    <s:row r="27" ht="42" customHeight="1" s="48">
      <s:c r="A27" s="17" t="inlineStr">
        <s:is>
          <s:t>REQ-023</s:t>
        </s:is>
      </s:c>
      <s:c r="B27" s="13" t="inlineStr">
        <s:is>
          <s:t>Strategy/campaigns are versioned artifacts grounding content planning</s:t>
        </s:is>
      </s:c>
      <s:c r="C27" s="18" t="inlineStr">
        <s:is>
          <s:t>39-40</s:t>
        </s:is>
      </s:c>
      <s:c r="D27" s="13" t="inlineStr">
        <s:is>
          <s:t>S6-A10;S6-A11;S6-B11;S6-B12</s:t>
        </s:is>
      </s:c>
      <s:c r="E27" s="18" t="inlineStr">
        <s:is>
          <s:t>RG-15</s:t>
        </s:is>
      </s:c>
      <s:c r="F27" s="13" t="inlineStr">
        <s:is>
          <s:t>Strategy/campaign state + UAT</s:t>
        </s:is>
      </s:c>
    </s:row>
    <s:row r="28" ht="42" customHeight="1" s="48">
      <s:c r="A28" s="17" t="inlineStr">
        <s:is>
          <s:t>REQ-024</s:t>
        </s:is>
      </s:c>
      <s:c r="B28" s="13" t="inlineStr">
        <s:is>
          <s:t>Learning recommendations cite normalized metrics and never silently mutate strategy</s:t>
        </s:is>
      </s:c>
      <s:c r="C28" s="18" t="inlineStr">
        <s:is>
          <s:t>41</s:t>
        </s:is>
      </s:c>
      <s:c r="D28" s="13" t="inlineStr">
        <s:is>
          <s:t>S7-A01;S7-A10</s:t>
        </s:is>
      </s:c>
      <s:c r="E28" s="18" t="inlineStr">
        <s:is>
          <s:t>RG-15</s:t>
        </s:is>
      </s:c>
      <s:c r="F28" s="13" t="inlineStr">
        <s:is>
          <s:t>Learning replay + metric refs</s:t>
        </s:is>
      </s:c>
    </s:row>
    <s:row r="29" ht="42" customHeight="1" s="48">
      <s:c r="A29" s="17" t="inlineStr">
        <s:is>
          <s:t>REQ-025</s:t>
        </s:is>
      </s:c>
      <s:c r="B29" s="13" t="inlineStr">
        <s:is>
          <s:t>AI policy blocks unsupported commercial/regulated/testimonial claims</s:t>
        </s:is>
      </s:c>
      <s:c r="C29" s="18" t="inlineStr">
        <s:is>
          <s:t>43</s:t>
        </s:is>
      </s:c>
      <s:c r="D29" s="13" t="inlineStr">
        <s:is>
          <s:t>S6-A12;S7-A02;S7-B03</s:t>
        </s:is>
      </s:c>
      <s:c r="E29" s="18" t="inlineStr">
        <s:is>
          <s:t>RG-16</s:t>
        </s:is>
      </s:c>
      <s:c r="F29" s="13" t="inlineStr">
        <s:is>
          <s:t>Policy golden fixtures</s:t>
        </s:is>
      </s:c>
    </s:row>
    <s:row r="30" ht="42" customHeight="1" s="48">
      <s:c r="A30" s="17" t="inlineStr">
        <s:is>
          <s:t>REQ-026</s:t>
        </s:is>
      </s:c>
      <s:c r="B30" s="13" t="inlineStr">
        <s:is>
          <s:t>Imported/untrusted content cannot alter tool/system policy</s:t>
        </s:is>
      </s:c>
      <s:c r="C30" s="18" t="inlineStr">
        <s:is>
          <s:t>43</s:t>
        </s:is>
      </s:c>
      <s:c r="D30" s="13" t="inlineStr">
        <s:is>
          <s:t>S7-A07;S7-B01</s:t>
        </s:is>
      </s:c>
      <s:c r="E30" s="18" t="inlineStr">
        <s:is>
          <s:t>RG-16;RG-12</s:t>
        </s:is>
      </s:c>
      <s:c r="F30" s="13" t="inlineStr">
        <s:is>
          <s:t>Adversarial prompt-injection suite</s:t>
        </s:is>
      </s:c>
    </s:row>
    <s:row r="31" ht="42" customHeight="1" s="48">
      <s:c r="A31" s="17" t="inlineStr">
        <s:is>
          <s:t>REQ-027</s:t>
        </s:is>
      </s:c>
      <s:c r="B31" s="13" t="inlineStr">
        <s:is>
          <s:t>AI cost is reserved and hard-bounded before expensive provider work</s:t>
        </s:is>
      </s:c>
      <s:c r="C31" s="18" t="inlineStr">
        <s:is>
          <s:t>44</s:t>
        </s:is>
      </s:c>
      <s:c r="D31" s="13" t="inlineStr">
        <s:is>
          <s:t>S6-A13;S7-A09;S8-A12</s:t>
        </s:is>
      </s:c>
      <s:c r="E31" s="18" t="inlineStr">
        <s:is>
          <s:t>RG-18</s:t>
        </s:is>
      </s:c>
      <s:c r="F31" s="13" t="inlineStr">
        <s:is>
          <s:t>Concurrent budget + anomaly fault tests</s:t>
        </s:is>
      </s:c>
    </s:row>
    <s:row r="32" ht="42" customHeight="1" s="48">
      <s:c r="A32" s="17" t="inlineStr">
        <s:is>
          <s:t>REQ-028</s:t>
        </s:is>
      </s:c>
      <s:c r="B32" s="13" t="inlineStr">
        <s:is>
          <s:t>Frontend editors autosave and resolve conflicts without silent data loss</s:t>
        </s:is>
      </s:c>
      <s:c r="C32" s="18" t="inlineStr">
        <s:is>
          <s:t>47</s:t>
        </s:is>
      </s:c>
      <s:c r="D32" s="13" t="inlineStr">
        <s:is>
          <s:t>S7-B09;S8-B12</s:t>
        </s:is>
      </s:c>
      <s:c r="E32" s="18" t="inlineStr">
        <s:is>
          <s:t>RG-17</s:t>
        </s:is>
      </s:c>
      <s:c r="F32" s="13" t="inlineStr">
        <s:is>
          <s:t>Network/conflict E2E</s:t>
        </s:is>
      </s:c>
    </s:row>
    <s:row r="33" ht="42" customHeight="1" s="48">
      <s:c r="A33" s="17" t="inlineStr">
        <s:is>
          <s:t>REQ-029</s:t>
        </s:is>
      </s:c>
      <s:c r="B33" s="13" t="inlineStr">
        <s:is>
          <s:t>Support/admin is least-privilege, metadata-first and audited</s:t>
        </s:is>
      </s:c>
      <s:c r="C33" s="18" t="inlineStr">
        <s:is>
          <s:t>46</s:t>
        </s:is>
      </s:c>
      <s:c r="D33" s="13" t="inlineStr">
        <s:is>
          <s:t>S7-A06;S7-B04</s:t>
        </s:is>
      </s:c>
      <s:c r="E33" s="18" t="inlineStr">
        <s:is>
          <s:t>RG-18</s:t>
        </s:is>
      </s:c>
      <s:c r="F33" s="13" t="inlineStr">
        <s:is>
          <s:t>Admin authz + audit evidence</s:t>
        </s:is>
      </s:c>
    </s:row>
    <s:row r="34" ht="42" customHeight="1" s="48">
      <s:c r="A34" s="17" t="inlineStr">
        <s:is>
          <s:t>REQ-030</s:t>
        </s:is>
      </s:c>
      <s:c r="B34" s="13" t="inlineStr">
        <s:is>
          <s:t>Content formats are capability-driven; advanced formats cannot bypass core publish invariants</s:t>
        </s:is>
      </s:c>
      <s:c r="C34" s="18" t="inlineStr">
        <s:is>
          <s:t>42</s:t>
        </s:is>
      </s:c>
      <s:c r="D34" s="13" t="inlineStr">
        <s:is>
          <s:t>S7-A03;S9-A01;S9-A02;S9-A03</s:t>
        </s:is>
      </s:c>
      <s:c r="E34" s="18" t="inlineStr">
        <s:is>
          <s:t>RG-19</s:t>
        </s:is>
      </s:c>
      <s:c r="F34" s="13" t="inlineStr">
        <s:is>
          <s:t>Provider contracts + idempotency faults</s:t>
        </s:is>
      </s:c>
    </s:row>
    <s:row r="35" ht="42" customHeight="1" s="48">
      <s:c r="A35" s="17" t="inlineStr">
        <s:is>
          <s:t>REQ-031</s:t>
        </s:is>
      </s:c>
      <s:c r="B35" s="13" t="inlineStr">
        <s:is>
          <s:t>Public GA requires S0-S8 gates; growth work cannot weaken GA invariants</s:t>
        </s:is>
      </s:c>
      <s:c r="C35" s="18" t="inlineStr">
        <s:is>
          <s:t>52</s:t>
        </s:is>
      </s:c>
      <s:c r="D35" s="13" t="inlineStr">
        <s:is>
          <s:t>S8-A10;S8-A11;S8-B10;S8-B12;S8-A04;S8-B04</s:t>
        </s:is>
      </s:c>
      <s:c r="E35" s="18" t="inlineStr">
        <s:is>
          <s:t>RG-14;RG-17;RG-18</s:t>
        </s:is>
      </s:c>
      <s:c r="F35" s="13" t="inlineStr">
        <s:is>
          <s:t>GA release checklist</s:t>
        </s:is>
      </s:c>
    </s:row>
  </s:sheetData>
  <s:autoFilter ref="A4:F24"/>
  <s:mergeCells count="2">
    <s:mergeCell ref="A2:F2"/>
    <s:mergeCell ref="A1:F1"/>
  </s:mergeCells>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8.xml><?xml version="1.0" encoding="utf-8"?>
<s:worksheet xmlns:s="http://schemas.openxmlformats.org/spreadsheetml/2006/main">
  <s:sheetPr>
    <s:tabColor rgb="FF6B7280"/>
    <s:outlinePr summaryBelow="1" summaryRight="1"/>
    <s:pageSetUpPr fitToPage="1"/>
  </s:sheetPr>
  <s:dimension ref="A1:F30"/>
  <s:sheetViews>
    <s:sheetView showGridLines="0" zoomScale="90" workbookViewId="0">
      <s:pane ySplit="4" topLeftCell="A5" activePane="bottomLeft" state="frozen"/>
      <s:selection pane="bottomLeft" activeCell="A1" sqref="A1"/>
    </s:sheetView>
  </s:sheetViews>
  <s:sheetFormatPr baseColWidth="8" defaultRowHeight="15"/>
  <s:cols>
    <s:col width="12" customWidth="1" style="48" min="1" max="1"/>
    <s:col width="58" customWidth="1" style="48" min="2" max="2"/>
    <s:col width="14" customWidth="1" style="48" min="3" max="3"/>
    <s:col width="15" customWidth="1" style="48" min="4" max="4"/>
    <s:col width="16" customWidth="1" style="48" min="5" max="5"/>
    <s:col width="58" customWidth="1" style="48" min="6" max="6"/>
  </s:cols>
  <s:sheetData>
    <s:row r="1" ht="33.95" customHeight="1" s="48">
      <s:c r="A1" s="40" t="inlineStr">
        <s:is>
          <s:t>Architecture Decision Register</s:t>
        </s:is>
      </s:c>
    </s:row>
    <s:row r="2"/>
    <s:row r="3"/>
    <s:row r="4" ht="30" customHeight="1" s="48">
      <s:c r="A4" s="11" t="inlineStr">
        <s:is>
          <s:t>ADR</s:t>
        </s:is>
      </s:c>
      <s:c r="B4" s="11" t="inlineStr">
        <s:is>
          <s:t>Decision</s:t>
        </s:is>
      </s:c>
      <s:c r="C4" s="11" t="inlineStr">
        <s:is>
          <s:t>Status</s:t>
        </s:is>
      </s:c>
      <s:c r="D4" s="11" t="inlineStr">
        <s:is>
          <s:t>Required Sprint</s:t>
        </s:is>
      </s:c>
      <s:c r="E4" s="11" t="inlineStr">
        <s:is>
          <s:t>Owner</s:t>
        </s:is>
      </s:c>
      <s:c r="F4" s="11" t="inlineStr">
        <s:is>
          <s:t>Trigger to Revisit</s:t>
        </s:is>
      </s:c>
    </s:row>
    <s:row r="5" ht="39.95" customHeight="1" s="48">
      <s:c r="A5" s="17" t="inlineStr">
        <s:is>
          <s:t>ADR-001</s:t>
        </s:is>
      </s:c>
      <s:c r="B5" s="13" t="inlineStr">
        <s:is>
          <s:t>Modular monolith + durable workers</s:t>
        </s:is>
      </s:c>
      <s:c r="C5" s="61" t="inlineStr">
        <s:is>
          <s:t>Accepted</s:t>
        </s:is>
      </s:c>
      <s:c r="D5" s="18" t="inlineStr">
        <s:is>
          <s:t>S0</s:t>
        </s:is>
      </s:c>
      <s:c r="E5" s="18" t="inlineStr">
        <s:is>
          <s:t>Programmer A</s:t>
        </s:is>
      </s:c>
      <s:c r="F5" s="13" t="inlineStr">
        <s:is>
          <s:t>Revisit when a bounded context needs independent scale/release/compliance ownership.</s:t>
        </s:is>
      </s:c>
    </s:row>
    <s:row r="6" ht="39.95" customHeight="1" s="48">
      <s:c r="A6" s="17" t="inlineStr">
        <s:is>
          <s:t>ADR-002</s:t>
        </s:is>
      </s:c>
      <s:c r="B6" s="13" t="inlineStr">
        <s:is>
          <s:t>Organization is tenant/billing/security boundary; Brand is sub-entity</s:t>
        </s:is>
      </s:c>
      <s:c r="C6" s="61" t="inlineStr">
        <s:is>
          <s:t>Accepted</s:t>
        </s:is>
      </s:c>
      <s:c r="D6" s="18" t="inlineStr">
        <s:is>
          <s:t>S0</s:t>
        </s:is>
      </s:c>
      <s:c r="E6" s="18" t="inlineStr">
        <s:is>
          <s:t>Programmer A</s:t>
        </s:is>
      </s:c>
      <s:c r="F6" s="13" t="inlineStr">
        <s:is>
          <s:t>Revisit only for explicit reseller/legal tenancy requirement.</s:t>
        </s:is>
      </s:c>
    </s:row>
    <s:row r="7" ht="39.95" customHeight="1" s="48">
      <s:c r="A7" s="17" t="inlineStr">
        <s:is>
          <s:t>ADR-003</s:t>
        </s:is>
      </s:c>
      <s:c r="B7" s="13" t="inlineStr">
        <s:is>
          <s:t>Supabase Auth/Postgres/Storage/Queues; RLS + tenant transaction context</s:t>
        </s:is>
      </s:c>
      <s:c r="C7" s="61" t="inlineStr">
        <s:is>
          <s:t>Accepted</s:t>
        </s:is>
      </s:c>
      <s:c r="D7" s="18" t="inlineStr">
        <s:is>
          <s:t>S0</s:t>
        </s:is>
      </s:c>
      <s:c r="E7" s="18" t="inlineStr">
        <s:is>
          <s:t>Programmer A</s:t>
        </s:is>
      </s:c>
      <s:c r="F7" s="13" t="inlineStr">
        <s:is>
          <s:t>Revisit on measured platform limitation/security requirement.</s:t>
        </s:is>
      </s:c>
    </s:row>
    <s:row r="8" ht="39.95" customHeight="1" s="48">
      <s:c r="A8" s="17" t="inlineStr">
        <s:is>
          <s:t>ADR-004</s:t>
        </s:is>
      </s:c>
      <s:c r="B8" s="13" t="inlineStr">
        <s:is>
          <s:t>Provider ports/adapters; no provider SDK types in domain</s:t>
        </s:is>
      </s:c>
      <s:c r="C8" s="61" t="inlineStr">
        <s:is>
          <s:t>Accepted</s:t>
        </s:is>
      </s:c>
      <s:c r="D8" s="18" t="inlineStr">
        <s:is>
          <s:t>S0</s:t>
        </s:is>
      </s:c>
      <s:c r="E8" s="18" t="inlineStr">
        <s:is>
          <s:t>Programmer A</s:t>
        </s:is>
      </s:c>
      <s:c r="F8" s="13" t="inlineStr">
        <s:is>
          <s:t>Never bypass for convenience.</s:t>
        </s:is>
      </s:c>
    </s:row>
    <s:row r="9" ht="39.95" customHeight="1" s="48">
      <s:c r="A9" s="17" t="inlineStr">
        <s:is>
          <s:t>ADR-005</s:t>
        </s:is>
      </s:c>
      <s:c r="B9" s="13" t="inlineStr">
        <s:is>
          <s:t>Transactional outbox + idempotent queue consumers</s:t>
        </s:is>
      </s:c>
      <s:c r="C9" s="61" t="inlineStr">
        <s:is>
          <s:t>Accepted</s:t>
        </s:is>
      </s:c>
      <s:c r="D9" s="18" t="inlineStr">
        <s:is>
          <s:t>S0</s:t>
        </s:is>
      </s:c>
      <s:c r="E9" s="18" t="inlineStr">
        <s:is>
          <s:t>Programmer A</s:t>
        </s:is>
      </s:c>
      <s:c r="F9" s="13" t="inlineStr">
        <s:is>
          <s:t>Revisit if event volume justifies external bus.</s:t>
        </s:is>
      </s:c>
    </s:row>
    <s:row r="10" ht="39.95" customHeight="1" s="48">
      <s:c r="A10" s="17" t="inlineStr">
        <s:is>
          <s:t>ADR-006</s:t>
        </s:is>
      </s:c>
      <s:c r="B10" s="13" t="inlineStr">
        <s:is>
          <s:t>Verified Business Brain + content fact/asset provenance</s:t>
        </s:is>
      </s:c>
      <s:c r="C10" s="61" t="inlineStr">
        <s:is>
          <s:t>Accepted</s:t>
        </s:is>
      </s:c>
      <s:c r="D10" s="18" t="inlineStr">
        <s:is>
          <s:t>S1</s:t>
        </s:is>
      </s:c>
      <s:c r="E10" s="18" t="inlineStr">
        <s:is>
          <s:t>Programmer A</s:t>
        </s:is>
      </s:c>
      <s:c r="F10" s="13" t="inlineStr">
        <s:is>
          <s:t>Core product invariant.</s:t>
        </s:is>
      </s:c>
    </s:row>
    <s:row r="11" ht="39.95" customHeight="1" s="48">
      <s:c r="A11" s="17" t="inlineStr">
        <s:is>
          <s:t>ADR-007</s:t>
        </s:is>
      </s:c>
      <s:c r="B11" s="13" t="inlineStr">
        <s:is>
          <s:t>AI capability routing + prompt versioning + golden eval</s:t>
        </s:is>
      </s:c>
      <s:c r="C11" s="61" t="inlineStr">
        <s:is>
          <s:t>Accepted</s:t>
        </s:is>
      </s:c>
      <s:c r="D11" s="18" t="inlineStr">
        <s:is>
          <s:t>S3</s:t>
        </s:is>
      </s:c>
      <s:c r="E11" s="18" t="inlineStr">
        <s:is>
          <s:t>Programmer A</s:t>
        </s:is>
      </s:c>
      <s:c r="F11" s="13" t="inlineStr">
        <s:is>
          <s:t>Model change requires eval/canary, not ADR unless architecture changes.</s:t>
        </s:is>
      </s:c>
    </s:row>
    <s:row r="12" ht="39.95" customHeight="1" s="48">
      <s:c r="A12" s="17" t="inlineStr">
        <s:is>
          <s:t>ADR-008</s:t>
        </s:is>
      </s:c>
      <s:c r="B12" s="13" t="inlineStr">
        <s:is>
          <s:t>Private media + immutable derived assets + deterministic critical text/logo</s:t>
        </s:is>
      </s:c>
      <s:c r="C12" s="61" t="inlineStr">
        <s:is>
          <s:t>Accepted</s:t>
        </s:is>
      </s:c>
      <s:c r="D12" s="18" t="inlineStr">
        <s:is>
          <s:t>S2</s:t>
        </s:is>
      </s:c>
      <s:c r="E12" s="18" t="inlineStr">
        <s:is>
          <s:t>Programmer B</s:t>
        </s:is>
      </s:c>
      <s:c r="F12" s="13" t="inlineStr">
        <s:is>
          <s:t>Revisit for video pipeline.</s:t>
        </s:is>
      </s:c>
    </s:row>
    <s:row r="13" ht="39.95" customHeight="1" s="48">
      <s:c r="A13" s="17" t="inlineStr">
        <s:is>
          <s:t>ADR-009</s:t>
        </s:is>
      </s:c>
      <s:c r="B13" s="13" t="inlineStr">
        <s:is>
          <s:t>Immutable content versions + approval state machine + publish reconciliation</s:t>
        </s:is>
      </s:c>
      <s:c r="C13" s="61" t="inlineStr">
        <s:is>
          <s:t>Accepted</s:t>
        </s:is>
      </s:c>
      <s:c r="D13" s="18" t="inlineStr">
        <s:is>
          <s:t>S3/S4</s:t>
        </s:is>
      </s:c>
      <s:c r="E13" s="18" t="inlineStr">
        <s:is>
          <s:t>Programmer A</s:t>
        </s:is>
      </s:c>
      <s:c r="F13" s="13" t="inlineStr">
        <s:is>
          <s:t>Core reliability invariant.</s:t>
        </s:is>
      </s:c>
    </s:row>
    <s:row r="14" ht="39.95" customHeight="1" s="48">
      <s:c r="A14" s="17" t="inlineStr">
        <s:is>
          <s:t>ADR-010</s:t>
        </s:is>
      </s:c>
      <s:c r="B14" s="13" t="inlineStr">
        <s:is>
          <s:t>Provider-neutral entitlements/usage ledger</s:t>
        </s:is>
      </s:c>
      <s:c r="C14" s="61" t="inlineStr">
        <s:is>
          <s:t>Accepted</s:t>
        </s:is>
      </s:c>
      <s:c r="D14" s="18" t="inlineStr">
        <s:is>
          <s:t>S1</s:t>
        </s:is>
      </s:c>
      <s:c r="E14" s="18" t="inlineStr">
        <s:is>
          <s:t>Programmer A</s:t>
        </s:is>
      </s:c>
      <s:c r="F14" s="13" t="inlineStr">
        <s:is>
          <s:t>Provider selection does not change core.</s:t>
        </s:is>
      </s:c>
    </s:row>
    <s:row r="15" ht="39.95" customHeight="1" s="48">
      <s:c r="A15" s="17" t="inlineStr">
        <s:is>
          <s:t>ADR-011</s:t>
        </s:is>
      </s:c>
      <s:c r="B15" s="13" t="inlineStr">
        <s:is>
          <s:t>OpenAPI-generated TS client + stable Problem error codes</s:t>
        </s:is>
      </s:c>
      <s:c r="C15" s="61" t="inlineStr">
        <s:is>
          <s:t>Accepted</s:t>
        </s:is>
      </s:c>
      <s:c r="D15" s="18" t="inlineStr">
        <s:is>
          <s:t>S0</s:t>
        </s:is>
      </s:c>
      <s:c r="E15" s="18" t="inlineStr">
        <s:is>
          <s:t>Programmer B</s:t>
        </s:is>
      </s:c>
      <s:c r="F15" s="13" t="inlineStr">
        <s:is>
          <s:t>Breaking API requires version/compatibility plan.</s:t>
        </s:is>
      </s:c>
    </s:row>
    <s:row r="16" ht="39.95" customHeight="1" s="48">
      <s:c r="A16" s="17" t="inlineStr">
        <s:is>
          <s:t>ADR-012</s:t>
        </s:is>
      </s:c>
      <s:c r="B16" s="13" t="inlineStr">
        <s:is>
          <s:t>OpenTelemetry + SLO/privacy-safe logging baseline</s:t>
        </s:is>
      </s:c>
      <s:c r="C16" s="61" t="inlineStr">
        <s:is>
          <s:t>Accepted</s:t>
        </s:is>
      </s:c>
      <s:c r="D16" s="18" t="inlineStr">
        <s:is>
          <s:t>S6</s:t>
        </s:is>
      </s:c>
      <s:c r="E16" s="18" t="inlineStr">
        <s:is>
          <s:t>Programmer A</s:t>
        </s:is>
      </s:c>
      <s:c r="F16" s="13" t="inlineStr">
        <s:is>
          <s:t>Revisit observability vendor without changing instrumentation contract.</s:t>
        </s:is>
      </s:c>
    </s:row>
    <s:row r="17" ht="39.95" customHeight="1" s="48">
      <s:c r="A17" s="17" t="inlineStr">
        <s:is>
          <s:t>ADR-013</s:t>
        </s:is>
      </s:c>
      <s:c r="B17" s="13" t="inlineStr">
        <s:is>
          <s:t>First payment provider selection</s:t>
        </s:is>
      </s:c>
      <s:c r="C17" s="21" t="inlineStr">
        <s:is>
          <s:t>Open</s:t>
        </s:is>
      </s:c>
      <s:c r="D17" s="18" t="inlineStr">
        <s:is>
          <s:t>S5</s:t>
        </s:is>
      </s:c>
      <s:c r="E17" s="18" t="inlineStr">
        <s:is>
          <s:t>Programmer A</s:t>
        </s:is>
      </s:c>
      <s:c r="F17" s="13" t="inlineStr">
        <s:is>
          <s:t>Select from actual Kosovo merchant/legal/recurring support and cost; core remains portable.</s:t>
        </s:is>
      </s:c>
    </s:row>
    <s:row r="18" ht="39.95" customHeight="1" s="48">
      <s:c r="A18" s="17" t="inlineStr">
        <s:is>
          <s:t>ADR-014</s:t>
        </s:is>
      </s:c>
      <s:c r="B18" s="13" t="inlineStr">
        <s:is>
          <s:t>Nuxt UI v4 as primary component system; custom primitives only with documented gap</s:t>
        </s:is>
      </s:c>
      <s:c r="C18" s="61" t="inlineStr">
        <s:is>
          <s:t>Accepted</s:t>
        </s:is>
      </s:c>
      <s:c r="D18" s="18" t="inlineStr">
        <s:is>
          <s:t>S0</s:t>
        </s:is>
      </s:c>
      <s:c r="E18" s="18" t="inlineStr">
        <s:is>
          <s:t>Programmer B</s:t>
        </s:is>
      </s:c>
      <s:c r="F18" s="13" t="inlineStr">
        <s:is>
          <s:t>Revisit on material component/accessibility/performance limitation.</s:t>
        </s:is>
      </s:c>
    </s:row>
    <s:row r="19" ht="39.95" customHeight="1" s="48">
      <s:c r="A19" s="17" t="inlineStr">
        <s:is>
          <s:t>ADR-015</s:t>
        </s:is>
      </s:c>
      <s:c r="B19" s="13" t="inlineStr">
        <s:is>
          <s:t>Motion for Vue for purposeful complex motion; CSS for simple transitions; reduced-motion mandatory</s:t>
        </s:is>
      </s:c>
      <s:c r="C19" s="61" t="inlineStr">
        <s:is>
          <s:t>Accepted</s:t>
        </s:is>
      </s:c>
      <s:c r="D19" s="18" t="inlineStr">
        <s:is>
          <s:t>S0/S7</s:t>
        </s:is>
      </s:c>
      <s:c r="E19" s="18" t="inlineStr">
        <s:is>
          <s:t>Programmer B</s:t>
        </s:is>
      </s:c>
      <s:c r="F19" s="13" t="inlineStr">
        <s:is>
          <s:t>Revisit on measured bundle/perf limitation.</s:t>
        </s:is>
      </s:c>
    </s:row>
    <s:row r="20" ht="39.95" customHeight="1" s="48">
      <s:c r="A20" s="17" t="inlineStr">
        <s:is>
          <s:t>ADR-016</s:t>
        </s:is>
      </s:c>
      <s:c r="B20" s="13" t="inlineStr">
        <s:is>
          <s:t>Versioned MarketingStrategy + Campaign domain grounds generated content</s:t>
        </s:is>
      </s:c>
      <s:c r="C20" s="61" t="inlineStr">
        <s:is>
          <s:t>Accepted</s:t>
        </s:is>
      </s:c>
      <s:c r="D20" s="18" t="inlineStr">
        <s:is>
          <s:t>S6</s:t>
        </s:is>
      </s:c>
      <s:c r="E20" s="18" t="inlineStr">
        <s:is>
          <s:t>Programmer A</s:t>
        </s:is>
      </s:c>
      <s:c r="F20" s="13" t="inlineStr">
        <s:is>
          <s:t>Core product invariant; schema may evolve compatibly.</s:t>
        </s:is>
      </s:c>
    </s:row>
    <s:row r="21" ht="39.95" customHeight="1" s="48">
      <s:c r="A21" s="17" t="inlineStr">
        <s:is>
          <s:t>ADR-017</s:t>
        </s:is>
      </s:c>
      <s:c r="B21" s="13" t="inlineStr">
        <s:is>
          <s:t>Structured ContentPolicyEngine with versioned vertical policy packs</s:t>
        </s:is>
      </s:c>
      <s:c r="C21" s="61" t="inlineStr">
        <s:is>
          <s:t>Accepted</s:t>
        </s:is>
      </s:c>
      <s:c r="D21" s="18" t="inlineStr">
        <s:is>
          <s:t>S6</s:t>
        </s:is>
      </s:c>
      <s:c r="E21" s="18" t="inlineStr">
        <s:is>
          <s:t>Programmer A</s:t>
        </s:is>
      </s:c>
      <s:c r="F21" s="13" t="inlineStr">
        <s:is>
          <s:t>Policy changes require eval/evidence; legal review where applicable.</s:t>
        </s:is>
      </s:c>
    </s:row>
    <s:row r="22" ht="39.95" customHeight="1" s="48">
      <s:c r="A22" s="17" t="inlineStr">
        <s:is>
          <s:t>ADR-018</s:t>
        </s:is>
      </s:c>
      <s:c r="B22" s="13" t="inlineStr">
        <s:is>
          <s:t>AI cost reservation + hard budgets + anomaly circuit breaker</s:t>
        </s:is>
      </s:c>
      <s:c r="C22" s="61" t="inlineStr">
        <s:is>
          <s:t>Accepted</s:t>
        </s:is>
      </s:c>
      <s:c r="D22" s="18" t="inlineStr">
        <s:is>
          <s:t>S6</s:t>
        </s:is>
      </s:c>
      <s:c r="E22" s="18" t="inlineStr">
        <s:is>
          <s:t>Programmer A</s:t>
        </s:is>
      </s:c>
      <s:c r="F22" s="13" t="inlineStr">
        <s:is>
          <s:t>Revisit if provider offers reliable native budget controls as additional layer.</s:t>
        </s:is>
      </s:c>
    </s:row>
    <s:row r="23" ht="39.95" customHeight="1" s="48">
      <s:c r="A23" s="17" t="inlineStr">
        <s:is>
          <s:t>ADR-019</s:t>
        </s:is>
      </s:c>
      <s:c r="B23" s="13" t="inlineStr">
        <s:is>
          <s:t>ContentFormat + ChannelCapability registry prevents image-only/provider-specific core</s:t>
        </s:is>
      </s:c>
      <s:c r="C23" s="61" t="inlineStr">
        <s:is>
          <s:t>Accepted</s:t>
        </s:is>
      </s:c>
      <s:c r="D23" s="18" t="inlineStr">
        <s:is>
          <s:t>S7</s:t>
        </s:is>
      </s:c>
      <s:c r="E23" s="18" t="inlineStr">
        <s:is>
          <s:t>Programmer A</s:t>
        </s:is>
      </s:c>
      <s:c r="F23" s="13" t="inlineStr">
        <s:is>
          <s:t>Required before advanced format enablement.</s:t>
        </s:is>
      </s:c>
    </s:row>
    <s:row r="24" ht="39.95" customHeight="1" s="48">
      <s:c r="A24" s="17" t="inlineStr">
        <s:is>
          <s:t>ADR-020</s:t>
        </s:is>
      </s:c>
      <s:c r="B24" s="13" t="inlineStr">
        <s:is>
          <s:t>Admin/support tooling is metadata-first; no default tenant impersonation</s:t>
        </s:is>
      </s:c>
      <s:c r="C24" s="61" t="inlineStr">
        <s:is>
          <s:t>Accepted</s:t>
        </s:is>
      </s:c>
      <s:c r="D24" s="18" t="inlineStr">
        <s:is>
          <s:t>S7</s:t>
        </s:is>
      </s:c>
      <s:c r="E24" s="18" t="inlineStr">
        <s:is>
          <s:t>Both</s:t>
        </s:is>
      </s:c>
      <s:c r="F24" s="13" t="inlineStr">
        <s:is>
          <s:t>Any future impersonation requires separate security/privacy ADR.</s:t>
        </s:is>
      </s:c>
    </s:row>
    <s:row r="25" ht="39.95" customHeight="1" s="48">
      <s:c r="A25" s="17" t="inlineStr">
        <s:is>
          <s:t>ADR-021</s:t>
        </s:is>
      </s:c>
      <s:c r="B25" s="13" t="inlineStr">
        <s:is>
          <s:t>S0-S8 Production GA; S9-S10 post-GA growth expansion</s:t>
        </s:is>
      </s:c>
      <s:c r="C25" s="61" t="inlineStr">
        <s:is>
          <s:t>Accepted</s:t>
        </s:is>
      </s:c>
      <s:c r="D25" s="18" t="inlineStr">
        <s:is>
          <s:t>S0</s:t>
        </s:is>
      </s:c>
      <s:c r="E25" s="18" t="inlineStr">
        <s:is>
          <s:t>Both</s:t>
        </s:is>
      </s:c>
      <s:c r="F25" s="13" t="inlineStr">
        <s:is>
          <s:t>Replan only with explicit scope/capacity decision; release gates remain authoritative.</s:t>
        </s:is>
      </s:c>
    </s:row>
    <s:row r="26" ht="95.09999999999999" customHeight="1" s="48">
      <s:c r="A26" s="62" t="inlineStr">
        <s:is>
          <s:t>AUD-2026-01</s:t>
        </s:is>
      </s:c>
      <s:c r="B26" s="62" t="inlineStr">
        <s:is>
          <s:t>Scope: Kosovo/EUR, posts-only; campaigns/strategy/standalone analytics/team deferred.</s:t>
        </s:is>
      </s:c>
      <s:c r="C26" s="62" t="inlineStr">
        <s:is>
          <s:t>User instruction</s:t>
        </s:is>
      </s:c>
      <s:c r="D26" s="62" t="inlineStr">
        <s:is>
          <s:t>Current</s:t>
        </s:is>
      </s:c>
      <s:c r="E26" s="62" t="inlineStr">
        <s:is>
          <s:t>Product owner</s:t>
        </s:is>
      </s:c>
      <s:c r="F26" s="62" t="inlineStr">
        <s:is>
          <s:t>Reopen explicitly when the corresponding product area is requested; security/operations gates remain.</s:t>
        </s:is>
      </s:c>
    </s:row>
    <s:row r="27" ht="95.09999999999999" customHeight="1" s="48">
      <s:c r="A27" s="62" t="inlineStr">
        <s:is>
          <s:t>AUD-2026-02</s:t>
        </s:is>
      </s:c>
      <s:c r="B27" s="62" t="inlineStr">
        <s:is>
          <s:t>Remove demo runtime. Real PostgreSQL business/account; configurable 72-hour trial with email/browser/social identity claims.</s:t>
        </s:is>
      </s:c>
      <s:c r="C27" s="62" t="inlineStr">
        <s:is>
          <s:t>User instruction</s:t>
        </s:is>
      </s:c>
      <s:c r="D27" s="62" t="inlineStr">
        <s:is>
          <s:t>Current</s:t>
        </s:is>
      </s:c>
      <s:c r="E27" s="62" t="inlineStr">
        <s:is>
          <s:t>Product owner</s:t>
        </s:is>
      </s:c>
      <s:c r="F27" s="62" t="inlineStr">
        <s:is>
          <s:t>Browser cookie is not hardware proof. Provider credentials and billing remain separate launch prerequisites.</s:t>
        </s:is>
      </s:c>
    </s:row>
    <s:row r="28" ht="95.09999999999999" customHeight="1" s="48">
      <s:c r="A28" s="62" t="inlineStr">
        <s:is>
          <s:t>AUD-2026-03</s:t>
        </s:is>
      </s:c>
      <s:c r="B28" s="62" t="inlineStr">
        <s:is>
          <s:t>Meta optional for approval/calendar. Calendar manual by default; automatic publication requires explicit opt-in and provider checks.</s:t>
        </s:is>
      </s:c>
      <s:c r="C28" s="62" t="inlineStr">
        <s:is>
          <s:t>User instruction</s:t>
        </s:is>
      </s:c>
      <s:c r="D28" s="62" t="inlineStr">
        <s:is>
          <s:t>Current</s:t>
        </s:is>
      </s:c>
      <s:c r="E28" s="62" t="inlineStr">
        <s:is>
          <s:t>Product owner</s:t>
        </s:is>
      </s:c>
      <s:c r="F28" s="62" t="inlineStr">
        <s:is>
          <s:t>Never auto-enable earlier manual calendar entries after connecting Meta. Preserve uncertain-publish guards.</s:t>
        </s:is>
      </s:c>
    </s:row>
    <s:row r="29" ht="95.09999999999999" customHeight="1" s="48">
      <s:c r="A29" s="62" t="inlineStr">
        <s:is>
          <s:t>AUD-2026-04</s:t>
        </s:is>
      </s:c>
      <s:c r="B29" s="62" t="inlineStr">
        <s:is>
          <s:t>Local signup may bypass email verification; localhost and 127.0.0.1 aliases at the same port are supported.</s:t>
        </s:is>
      </s:c>
      <s:c r="C29" s="62" t="inlineStr">
        <s:is>
          <s:t>User instruction</s:t>
        </s:is>
      </s:c>
      <s:c r="D29" s="62" t="inlineStr">
        <s:is>
          <s:t>Current</s:t>
        </s:is>
      </s:c>
      <s:c r="E29" s="62" t="inlineStr">
        <s:is>
          <s:t>Product owner</s:t>
        </s:is>
      </s:c>
      <s:c r="F29" s="62" t="inlineStr">
        <s:is>
          <s:t>Public origins still enforce verification; bypass does not mark emailVerified=true.</s:t>
        </s:is>
      </s:c>
    </s:row>
    <s:row r="30" ht="95.09999999999999" customHeight="1" s="48">
      <s:c r="A30" s="62" t="inlineStr">
        <s:is>
          <s:t>AUD-2026-05</s:t>
        </s:is>
      </s:c>
      <s:c r="B30" s="62" t="inlineStr">
        <s:is>
          <s:t>Observed stack: Nitro API, Better Auth, direct PostgreSQL and in-process publisher; original FastAPI/Supabase/outbox baseline differs.</s:t>
        </s:is>
      </s:c>
      <s:c r="C30" s="62" t="inlineStr">
        <s:is>
          <s:t>Needs ADR review</s:t>
        </s:is>
      </s:c>
      <s:c r="D30" s="62" t="inlineStr">
        <s:is>
          <s:t>Before GA</s:t>
        </s:is>
      </s:c>
      <s:c r="E30" s="62" t="inlineStr">
        <s:is>
          <s:t>Engineering owner</s:t>
        </s:is>
      </s:c>
      <s:c r="F30" s="62" t="inlineStr">
        <s:is>
          <s:t>Reconcile deployment boundaries/toolchain/API contracts/RLS. This audit does not waive enterprise security requirements.</s:t>
        </s:is>
      </s:c>
    </s:row>
  </s:sheetData>
  <s:autoFilter ref="A4:F17"/>
  <s:mergeCells count="1">
    <s:mergeCell ref="A1:F1"/>
  </s:mergeCells>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9.xml><?xml version="1.0" encoding="utf-8"?>
<s:worksheet xmlns:r="http://schemas.openxmlformats.org/officeDocument/2006/relationships" xmlns:s="http://schemas.openxmlformats.org/spreadsheetml/2006/main">
  <s:sheetPr>
    <s:tabColor rgb="FF16A34A"/>
    <s:outlinePr summaryBelow="1" summaryRight="1"/>
    <s:pageSetUpPr fitToPage="1"/>
  </s:sheetPr>
  <s:dimension ref="A1:D25"/>
  <s:sheetViews>
    <s:sheetView showGridLines="0" zoomScale="90" workbookViewId="0">
      <s:pane ySplit="4" topLeftCell="A5" activePane="bottomLeft" state="frozen"/>
      <s:selection pane="bottomLeft" activeCell="A1" sqref="A1"/>
    </s:sheetView>
  </s:sheetViews>
  <s:sheetFormatPr baseColWidth="8" defaultRowHeight="15"/>
  <s:cols>
    <s:col width="30" customWidth="1" style="48" min="1" max="1"/>
    <s:col width="68" customWidth="1" style="48" min="2" max="2"/>
    <s:col width="14" customWidth="1" style="48" min="3" max="3"/>
    <s:col width="58" customWidth="1" style="48" min="4" max="4"/>
  </s:cols>
  <s:sheetData>
    <s:row r="1" ht="33.95" customHeight="1" s="48">
      <s:c r="A1" s="40" t="inlineStr">
        <s:is>
          <s:t>Current Technical Sources / Standards</s:t>
        </s:is>
      </s:c>
    </s:row>
    <s:row r="2">
      <s:c r="A2" s="39" t="inlineStr">
        <s:is>
          <s:t>Revalidate provider/API versions at implementation time. URLs are intentionally plain text and clickable.</s:t>
        </s:is>
      </s:c>
    </s:row>
    <s:row r="3"/>
    <s:row r="4" ht="30" customHeight="1" s="48">
      <s:c r="A4" s="11" t="inlineStr">
        <s:is>
          <s:t>Source</s:t>
        </s:is>
      </s:c>
      <s:c r="B4" s="11" t="inlineStr">
        <s:is>
          <s:t>URL</s:t>
        </s:is>
      </s:c>
      <s:c r="C4" s="11" t="inlineStr">
        <s:is>
          <s:t>As of</s:t>
        </s:is>
      </s:c>
      <s:c r="D4" s="11" t="inlineStr">
        <s:is>
          <s:t>Used For</s:t>
        </s:is>
      </s:c>
    </s:row>
    <s:row r="5" ht="33.95" customHeight="1" s="48">
      <s:c r="A5" s="17" t="inlineStr">
        <s:is>
          <s:t>Nuxt 4 guide / v4.5.x</s:t>
        </s:is>
      </s:c>
      <s:c r="B5" s="22" t="inlineStr">
        <s:is>
          <s:t>https://nuxt.com/docs/4.x/guide/</s:t>
        </s:is>
      </s:c>
      <s:c r="C5" s="18" t="inlineStr">
        <s:is>
          <s:t>2026-09-05</s:t>
        </s:is>
      </s:c>
      <s:c r="D5" s="13" t="inlineStr">
        <s:is>
          <s:t>Frontend framework baseline; Nuxt 3 EOL has passed.</s:t>
        </s:is>
      </s:c>
    </s:row>
    <s:row r="6" ht="33.95" customHeight="1" s="48">
      <s:c r="A6" s="17" t="inlineStr">
        <s:is>
          <s:t>Nuxt security releases</s:t>
        </s:is>
      </s:c>
      <s:c r="B6" s="22" t="inlineStr">
        <s:is>
          <s:t>https://nuxt.com/blog/v4-5-security</s:t>
        </s:is>
      </s:c>
      <s:c r="C6" s="18" t="inlineStr">
        <s:is>
          <s:t>2026-09-05</s:t>
        </s:is>
      </s:c>
      <s:c r="D6" s="13" t="inlineStr">
        <s:is>
          <s:t>Patch line/security maintenance.</s:t>
        </s:is>
      </s:c>
    </s:row>
    <s:row r="7" ht="33.95" customHeight="1" s="48">
      <s:c r="A7" s="17" t="inlineStr">
        <s:is>
          <s:t>FastAPI in Containers</s:t>
        </s:is>
      </s:c>
      <s:c r="B7" s="22" t="inlineStr">
        <s:is>
          <s:t>https://fastapi.tiangolo.com/deployment/docker/</s:t>
        </s:is>
      </s:c>
      <s:c r="C7" s="18" t="inlineStr">
        <s:is>
          <s:t>2026-09-05</s:t>
        </s:is>
      </s:c>
      <s:c r="D7" s="13" t="inlineStr">
        <s:is>
          <s:t>Container deployment pattern; Python 3.14 example.</s:t>
        </s:is>
      </s:c>
    </s:row>
    <s:row r="8" ht="33.95" customHeight="1" s="48">
      <s:c r="A8" s="17" t="inlineStr">
        <s:is>
          <s:t>Python 3.14 documentation</s:t>
        </s:is>
      </s:c>
      <s:c r="B8" s="22" t="inlineStr">
        <s:is>
          <s:t>https://docs.python.org/3/</s:t>
        </s:is>
      </s:c>
      <s:c r="C8" s="18" t="inlineStr">
        <s:is>
          <s:t>2026-09-05</s:t>
        </s:is>
      </s:c>
      <s:c r="D8" s="13" t="inlineStr">
        <s:is>
          <s:t>Stable Python 3.14 baseline.</s:t>
        </s:is>
      </s:c>
    </s:row>
    <s:row r="9" ht="33.95" customHeight="1" s="48">
      <s:c r="A9" s="17" t="inlineStr">
        <s:is>
          <s:t>Supabase Production Checklist</s:t>
        </s:is>
      </s:c>
      <s:c r="B9" s="22" t="inlineStr">
        <s:is>
          <s:t>https://supabase.com/docs/guides/deployment/going-into-prod</s:t>
        </s:is>
      </s:c>
      <s:c r="C9" s="18" t="inlineStr">
        <s:is>
          <s:t>2026-09-05</s:t>
        </s:is>
      </s:c>
      <s:c r="D9" s="13" t="inlineStr">
        <s:is>
          <s:t>RLS/security/load/production controls.</s:t>
        </s:is>
      </s:c>
    </s:row>
    <s:row r="10" ht="33.95" customHeight="1" s="48">
      <s:c r="A10" s="17" t="inlineStr">
        <s:is>
          <s:t>Supabase Queues</s:t>
        </s:is>
      </s:c>
      <s:c r="B10" s="22" t="inlineStr">
        <s:is>
          <s:t>https://supabase.com/docs/guides/queues</s:t>
        </s:is>
      </s:c>
      <s:c r="C10" s="18" t="inlineStr">
        <s:is>
          <s:t>2026-09-05</s:t>
        </s:is>
      </s:c>
      <s:c r="D10" s="13" t="inlineStr">
        <s:is>
          <s:t>Postgres-native durable pgmq queues.</s:t>
        </s:is>
      </s:c>
    </s:row>
    <s:row r="11" ht="33.95" customHeight="1" s="48">
      <s:c r="A11" s="17" t="inlineStr">
        <s:is>
          <s:t>Meta Instagram API</s:t>
        </s:is>
      </s:c>
      <s:c r="B11" s="22" t="inlineStr">
        <s:is>
          <s:t>https://www.postman.com/meta/instagram/documentation/6yqw8pt/instagram-api</s:t>
        </s:is>
      </s:c>
      <s:c r="C11" s="18" t="inlineStr">
        <s:is>
          <s:t>2026-09-05</s:t>
        </s:is>
      </s:c>
      <s:c r="D11" s="13" t="inlineStr">
        <s:is>
          <s:t>Professional account access, media/insights/publishing.</s:t>
        </s:is>
      </s:c>
    </s:row>
    <s:row r="12" ht="33.95" customHeight="1" s="48">
      <s:c r="A12" s="17" t="inlineStr">
        <s:is>
          <s:t>Meta Instagram publishing</s:t>
        </s:is>
      </s:c>
      <s:c r="B12" s="22" t="inlineStr">
        <s:is>
          <s:t>https://www.postman.com/meta/instagram/documentation/6yqw8pt/instagram-api</s:t>
        </s:is>
      </s:c>
      <s:c r="C12" s="18" t="inlineStr">
        <s:is>
          <s:t>2026-09-05</s:t>
        </s:is>
      </s:c>
      <s:c r="D12" s="13" t="inlineStr">
        <s:is>
          <s:t>Publishing flow and public media fetch requirement.</s:t>
        </s:is>
      </s:c>
    </s:row>
    <s:row r="13" ht="33.95" customHeight="1" s="48">
      <s:c r="A13" s="17" t="inlineStr">
        <s:is>
          <s:t>OpenAI API Reference - Responses</s:t>
        </s:is>
      </s:c>
      <s:c r="B13" s="22" t="inlineStr">
        <s:is>
          <s:t>https://developers.openai.com/api/reference/</s:t>
        </s:is>
      </s:c>
      <s:c r="C13" s="18" t="inlineStr">
        <s:is>
          <s:t>2026-09-05</s:t>
        </s:is>
      </s:c>
      <s:c r="D13" s="13" t="inlineStr">
        <s:is>
          <s:t>Structured responses/orchestration.</s:t>
        </s:is>
      </s:c>
    </s:row>
    <s:row r="14" ht="33.95" customHeight="1" s="48">
      <s:c r="A14" s="17" t="inlineStr">
        <s:is>
          <s:t>GPT-Image-2</s:t>
        </s:is>
      </s:c>
      <s:c r="B14" s="22" t="inlineStr">
        <s:is>
          <s:t>https://developers.openai.com/api/docs/models/gpt-image-2</s:t>
        </s:is>
      </s:c>
      <s:c r="C14" s="18" t="inlineStr">
        <s:is>
          <s:t>2026-09-05</s:t>
        </s:is>
      </s:c>
      <s:c r="D14" s="13" t="inlineStr">
        <s:is>
          <s:t>Image generation/editing; snapshot pinning.</s:t>
        </s:is>
      </s:c>
    </s:row>
    <s:row r="15" ht="33.95" customHeight="1" s="48">
      <s:c r="A15" s="17" t="inlineStr">
        <s:is>
          <s:t>OWASP ASVS</s:t>
        </s:is>
      </s:c>
      <s:c r="B15" s="22" t="inlineStr">
        <s:is>
          <s:t>https://owasp.org/www-project-application-security-verification-standard/</s:t>
        </s:is>
      </s:c>
      <s:c r="C15" s="18" t="inlineStr">
        <s:is>
          <s:t>2026-09-05</s:t>
        </s:is>
      </s:c>
      <s:c r="D15" s="13" t="inlineStr">
        <s:is>
          <s:t>ASVS 5.0.0 security verification baseline.</s:t>
        </s:is>
      </s:c>
    </s:row>
    <s:row r="16" ht="33.95" customHeight="1" s="48">
      <s:c r="A16" s="17" t="inlineStr">
        <s:is>
          <s:t>OWASP API Security</s:t>
        </s:is>
      </s:c>
      <s:c r="B16" s="22" t="inlineStr">
        <s:is>
          <s:t>https://owasp.org/API-Security/</s:t>
        </s:is>
      </s:c>
      <s:c r="C16" s="18" t="inlineStr">
        <s:is>
          <s:t>2026-09-05</s:t>
        </s:is>
      </s:c>
      <s:c r="D16" s="13" t="inlineStr">
        <s:is>
          <s:t>API threat categories.</s:t>
        </s:is>
      </s:c>
    </s:row>
    <s:row r="17" ht="33.95" customHeight="1" s="48">
      <s:c r="A17" s="17" t="inlineStr">
        <s:is>
          <s:t>RFC 9457</s:t>
        </s:is>
      </s:c>
      <s:c r="B17" s="22" t="inlineStr">
        <s:is>
          <s:t>https://www.rfc-editor.org/rfc/rfc9457</s:t>
        </s:is>
      </s:c>
      <s:c r="C17" s="18" t="inlineStr">
        <s:is>
          <s:t>2026-09-05</s:t>
        </s:is>
      </s:c>
      <s:c r="D17" s="13" t="inlineStr">
        <s:is>
          <s:t>HTTP Problem Details error model.</s:t>
        </s:is>
      </s:c>
    </s:row>
    <s:row r="18" ht="33.95" customHeight="1" s="48">
      <s:c r="A18" s="17" t="inlineStr">
        <s:is>
          <s:t>OpenTelemetry</s:t>
        </s:is>
      </s:c>
      <s:c r="B18" s="22" t="inlineStr">
        <s:is>
          <s:t>https://opentelemetry.io/docs/</s:t>
        </s:is>
      </s:c>
      <s:c r="C18" s="18" t="inlineStr">
        <s:is>
          <s:t>2026-09-05</s:t>
        </s:is>
      </s:c>
      <s:c r="D18" s="13" t="inlineStr">
        <s:is>
          <s:t>Vendor-neutral telemetry instrumentation.</s:t>
        </s:is>
      </s:c>
    </s:row>
    <s:row r="19" ht="33.95" customHeight="1" s="48">
      <s:c r="A19" s="17" t="inlineStr">
        <s:is>
          <s:t>Nuxt UI v4 components</s:t>
        </s:is>
      </s:c>
      <s:c r="B19" s="22" t="inlineStr">
        <s:is>
          <s:t>https://ui.nuxt.com/docs/components/</s:t>
        </s:is>
      </s:c>
      <s:c r="C19" s="18" t="inlineStr">
        <s:is>
          <s:t>2026-09-05</s:t>
        </s:is>
      </s:c>
      <s:c r="D19" s="13" t="inlineStr">
        <s:is>
          <s:t>125+ components incl. Dashboard, AI Chat, Editor, forms, overlays, pricing/page primitives.</s:t>
        </s:is>
      </s:c>
    </s:row>
    <s:row r="20" ht="33.95" customHeight="1" s="48">
      <s:c r="A20" s="17" t="inlineStr">
        <s:is>
          <s:t>Nuxt UI introduction</s:t>
        </s:is>
      </s:c>
      <s:c r="B20" s="22" t="inlineStr">
        <s:is>
          <s:t>https://ui.nuxt.com/docs/getting-started/</s:t>
        </s:is>
      </s:c>
      <s:c r="C20" s="18" t="inlineStr">
        <s:is>
          <s:t>2026-09-05</s:t>
        </s:is>
      </s:c>
      <s:c r="D20" s="13" t="inlineStr">
        <s:is>
          <s:t>Reka UI accessibility, theming and production-ready component baseline.</s:t>
        </s:is>
      </s:c>
    </s:row>
    <s:row r="21" ht="33.95" customHeight="1" s="48">
      <s:c r="A21" s="17" t="inlineStr">
        <s:is>
          <s:t>Motion for Vue</s:t>
        </s:is>
      </s:c>
      <s:c r="B21" s="22" t="inlineStr">
        <s:is>
          <s:t>https://motion.dev/docs/vue</s:t>
        </s:is>
      </s:c>
      <s:c r="C21" s="18" t="inlineStr">
        <s:is>
          <s:t>2026-09-05</s:t>
        </s:is>
      </s:c>
      <s:c r="D21" s="13" t="inlineStr">
        <s:is>
          <s:t>Vue motion/layout/gesture APIs and reduced-motion hooks.</s:t>
        </s:is>
      </s:c>
    </s:row>
    <s:row r="22" ht="33.95" customHeight="1" s="48">
      <s:c r="A22" s="17" t="inlineStr">
        <s:is>
          <s:t>Node.js releases</s:t>
        </s:is>
      </s:c>
      <s:c r="B22" s="22" t="inlineStr">
        <s:is>
          <s:t>https://nodejs.org/en/about/previous-releases</s:t>
        </s:is>
      </s:c>
      <s:c r="C22" s="18" t="inlineStr">
        <s:is>
          <s:t>2026-09-05</s:t>
        </s:is>
      </s:c>
      <s:c r="D22" s="13" t="inlineStr">
        <s:is>
          <s:t>Node.js 24 is LTS; runtime baseline.</s:t>
        </s:is>
      </s:c>
    </s:row>
    <s:row r="23" ht="33.95" customHeight="1" s="48">
      <s:c r="A23" s="17" t="inlineStr">
        <s:is>
          <s:t>Node.js downloads</s:t>
        </s:is>
      </s:c>
      <s:c r="B23" s="22" t="inlineStr">
        <s:is>
          <s:t>https://nodejs.org/en/download</s:t>
        </s:is>
      </s:c>
      <s:c r="C23" s="18" t="inlineStr">
        <s:is>
          <s:t>2026-09-05</s:t>
        </s:is>
      </s:c>
      <s:c r="D23" s="13" t="inlineStr">
        <s:is>
          <s:t>Current Node 24 LTS maintenance line.</s:t>
        </s:is>
      </s:c>
    </s:row>
    <s:row r="24" ht="33.95" customHeight="1" s="48">
      <s:c r="A24" s="17" t="inlineStr">
        <s:is>
          <s:t>Python 3.14 releases</s:t>
        </s:is>
      </s:c>
      <s:c r="B24" s="22" t="inlineStr">
        <s:is>
          <s:t>https://www.python.org/getit/source/</s:t>
        </s:is>
      </s:c>
      <s:c r="C24" s="18" t="inlineStr">
        <s:is>
          <s:t>2026-09-05</s:t>
        </s:is>
      </s:c>
      <s:c r="D24" s="13" t="inlineStr">
        <s:is>
          <s:t>Python 3.14.7 current stable 3.14 release.</s:t>
        </s:is>
      </s:c>
    </s:row>
    <s:row r="25" ht="33.95" customHeight="1" s="48">
      <s:c r="A25" s="17" t="inlineStr">
        <s:is>
          <s:t>OpenAI model catalog</s:t>
        </s:is>
      </s:c>
      <s:c r="B25" s="22" t="inlineStr">
        <s:is>
          <s:t>https://platform.openai.com/docs/models</s:t>
        </s:is>
      </s:c>
      <s:c r="C25" s="18" t="inlineStr">
        <s:is>
          <s:t>2026-09-05</s:t>
        </s:is>
      </s:c>
      <s:c r="D25" s="13" t="inlineStr">
        <s:is>
          <s:t>Capability routing and current text/image model catalog; snapshot revalidation.</s:t>
        </s:is>
      </s:c>
    </s:row>
  </s:sheetData>
  <s:autoFilter ref="A4:D18"/>
  <s:mergeCells count="2">
    <s:mergeCell ref="A1:D1"/>
    <s:mergeCell ref="A2:D2"/>
  </s:mergeCells>
  <s:hyperlinks>
    <s:hyperlink ref="B5" r:id="rId1"/>
    <s:hyperlink ref="B6" r:id="rId2"/>
    <s:hyperlink ref="B7" r:id="rId3"/>
    <s:hyperlink ref="B8" r:id="rId4"/>
    <s:hyperlink ref="B9" r:id="rId5"/>
    <s:hyperlink ref="B10" r:id="rId6"/>
    <s:hyperlink ref="B11" r:id="rId7"/>
    <s:hyperlink ref="B12" r:id="rId8"/>
    <s:hyperlink ref="B13" r:id="rId9"/>
    <s:hyperlink ref="B14" r:id="rId10"/>
    <s:hyperlink ref="B15" r:id="rId11"/>
    <s:hyperlink ref="B16" r:id="rId12"/>
    <s:hyperlink ref="B17" r:id="rId13"/>
    <s:hyperlink ref="B18" r:id="rId14"/>
  </s:hyperlinks>
  <s:pageMargins left="0.25" right="0.25" top="0.5" bottom="0.5" header="0.5" footer="0.5"/>
  <s:pageSetup fitToHeight="0"/>
  <s:headerFooter>
    <s:oddHeader/>
    <s:oddFooter>&amp;C&amp;8 AI Marketing Platform - Engineering Execution Workbook v1.0</s:oddFooter>
    <s:evenHeader/>
    <s:evenFooter/>
    <s:firstHeader/>
    <s:firstFooter/>
  </s:headerFooter>
</s:worksheet>
</file>

<file path=xl/worksheets/sheet10.xml><?xml version="1.0" encoding="utf-8"?>
<s:worksheet xmlns:s="http://schemas.openxmlformats.org/spreadsheetml/2006/main">
  <s:sheetPr>
    <s:tabColor rgb="FFEC4899"/>
    <s:outlinePr summaryBelow="1" summaryRight="1"/>
    <s:pageSetUpPr/>
  </s:sheetPr>
  <s:dimension ref="A1:C12"/>
  <s:sheetViews>
    <s:sheetView showGridLines="0" workbookViewId="0">
      <s:pane ySplit="1" topLeftCell="A2" activePane="bottomLeft" state="frozen"/>
      <s:selection pane="bottomLeft" activeCell="A1" sqref="A1"/>
    </s:sheetView>
  </s:sheetViews>
  <s:sheetFormatPr baseColWidth="8" defaultRowHeight="15"/>
  <s:cols>
    <s:col width="24" customWidth="1" style="48" min="1" max="1"/>
    <s:col width="70" customWidth="1" style="48" min="2" max="2"/>
    <s:col width="30" customWidth="1" style="48" min="3" max="3"/>
  </s:cols>
  <s:sheetData>
    <s:row r="1" ht="27.95" customHeight="1" s="48">
      <s:c r="A1" s="24" t="inlineStr">
        <s:is>
          <s:t>Frontend / UX Architecture Control Sheet</s:t>
        </s:is>
      </s:c>
      <s:c r="B1" s="24" t="n"/>
      <s:c r="C1" s="24" t="n"/>
    </s:row>
    <s:row r="2">
      <s:c r="A2" s="26" t="inlineStr">
        <s:is>
          <s:t>Rule</s:t>
        </s:is>
      </s:c>
      <s:c r="B2" s="26" t="inlineStr">
        <s:is>
          <s:t>Specification</s:t>
        </s:is>
      </s:c>
      <s:c r="C2" s="26" t="inlineStr">
        <s:is>
          <s:t>Release Evidence</s:t>
        </s:is>
      </s:c>
    </s:row>
    <s:row r="3">
      <s:c r="A3" s="25" t="inlineStr">
        <s:is>
          <s:t>Primary stack</s:t>
        </s:is>
      </s:c>
      <s:c r="B3" s="25" t="inlineStr">
        <s:is>
          <s:t>Nuxt 4.5.x + Node 24 LTS + TypeScript strict + Nuxt UI v4 + Tailwind theme tokens + Motion for Vue</s:t>
        </s:is>
      </s:c>
      <s:c r="C3" s="25" t="inlineStr">
        <s:is>
          <s:t>Build/typecheck + source review</s:t>
        </s:is>
      </s:c>
    </s:row>
    <s:row r="4">
      <s:c r="A4" s="25" t="inlineStr">
        <s:is>
          <s:t>Component policy</s:t>
        </s:is>
      </s:c>
      <s:c r="B4" s="25" t="inlineStr">
        <s:is>
          <s:t>Use Nuxt UI primitives first; custom component only when composition cannot satisfy documented requirement</s:t>
        </s:is>
      </s:c>
      <s:c r="C4" s="25" t="inlineStr">
        <s:is>
          <s:t>Component inventory review</s:t>
        </s:is>
      </s:c>
    </s:row>
    <s:row r="5">
      <s:c r="A5" s="25" t="inlineStr">
        <s:is>
          <s:t>Navigation</s:t>
        </s:is>
      </s:c>
      <s:c r="B5" s="25" t="inlineStr">
        <s:is>
          <s:t>DashboardGroup/Sidebar/Navbar/Toolbar/Search; responsive mobile drawer/toggle; org/brand context persistent</s:t>
        </s:is>
      </s:c>
      <s:c r="C5" s="25" t="inlineStr">
        <s:is>
          <s:t>Cross-device E2E</s:t>
        </s:is>
      </s:c>
    </s:row>
    <s:row r="6">
      <s:c r="A6" s="25" t="inlineStr">
        <s:is>
          <s:t>Motion</s:t>
        </s:is>
      </s:c>
      <s:c r="B6" s="25" t="inlineStr">
        <s:is>
          <s:t>Purposeful only; reduced-motion mandatory; no blocked input; lazy-load heavy landing motion</s:t>
        </s:is>
      </s:c>
      <s:c r="C6" s="25" t="inlineStr">
        <s:is>
          <s:t>A11y/performance/visual</s:t>
        </s:is>
      </s:c>
    </s:row>
    <s:row r="7">
      <s:c r="A7" s="25" t="inlineStr">
        <s:is>
          <s:t>Data</s:t>
        </s:is>
      </s:c>
      <s:c r="B7" s="25" t="inlineStr">
        <s:is>
          <s:t>Generated typed API client; no provider SDK or service-role in browser; server remains authority</s:t>
        </s:is>
      </s:c>
      <s:c r="C7" s="25" t="inlineStr">
        <s:is>
          <s:t>Static review + E2E</s:t>
        </s:is>
      </s:c>
    </s:row>
    <s:row r="8">
      <s:c r="A8" s="25" t="inlineStr">
        <s:is>
          <s:t>Drafts</s:t>
        </s:is>
      </s:c>
      <s:c r="B8" s="25" t="inlineStr">
        <s:is>
          <s:t>Autosave + revision conflict handling; no silent overwrite/data loss</s:t>
        </s:is>
      </s:c>
      <s:c r="C8" s="25" t="inlineStr">
        <s:is>
          <s:t>Fault E2E</s:t>
        </s:is>
      </s:c>
    </s:row>
    <s:row r="9">
      <s:c r="A9" s="25" t="inlineStr">
        <s:is>
          <s:t>Errors</s:t>
        </s:is>
      </s:c>
      <s:c r="B9" s="25" t="inlineStr">
        <s:is>
          <s:t>Typed actionable errors; request ID for support; no secrets/internal stack in UI</s:t>
        </s:is>
      </s:c>
      <s:c r="C9" s="25" t="inlineStr">
        <s:is>
          <s:t>Fault fixtures</s:t>
        </s:is>
      </s:c>
    </s:row>
    <s:row r="10">
      <s:c r="A10" s="25" t="inlineStr">
        <s:is>
          <s:t>Responsive</s:t>
        </s:is>
      </s:c>
      <s:c r="B10" s="25" t="inlineStr">
        <s:is>
          <s:t>360px+ critical workflows; calendar/editor adapt, not shrink blindly</s:t>
        </s:is>
      </s:c>
      <s:c r="C10" s="25" t="inlineStr">
        <s:is>
          <s:t>Mobile E2E</s:t>
        </s:is>
      </s:c>
    </s:row>
    <s:row r="11">
      <s:c r="A11" s="25" t="inlineStr">
        <s:is>
          <s:t>Accessibility</s:t>
        </s:is>
      </s:c>
      <s:c r="B11" s="25" t="inlineStr">
        <s:is>
          <s:t>Keyboard/focus/labels/live status/reduced motion; no serious/critical release findings</s:t>
        </s:is>
      </s:c>
      <s:c r="C11" s="25" t="inlineStr">
        <s:is>
          <s:t>axe + manual</s:t>
        </s:is>
      </s:c>
    </s:row>
    <s:row r="12">
      <s:c r="A12" s="25" t="inlineStr">
        <s:is>
          <s:t>Performance</s:t>
        </s:is>
      </s:c>
      <s:c r="B12" s="25" t="inlineStr">
        <s:is>
          <s:t>SSR public pages; route splitting; lazy editor/chat/charts/motion; image thumbnails; observed bundle budgets</s:t>
        </s:is>
      </s:c>
      <s:c r="C12" s="25" t="inlineStr">
        <s:is>
          <s:t>Nuxt analyze + Web Vitals</s:t>
        </s:is>
      </s:c>
    </s:row>
  </s:sheetData>
  <s:autoFilter ref="A1:C12"/>
  <s:pageMargins left="0.75" right="0.75" top="1" bottom="1" header="0.5" footer="0.5"/>
</s:worksheet>
</file>

<file path=xl/worksheets/sheet11.xml><?xml version="1.0" encoding="utf-8"?>
<s:worksheet xmlns:s="http://schemas.openxmlformats.org/spreadsheetml/2006/main">
  <s:sheetPr>
    <s:tabColor rgb="FF06B6D4"/>
    <s:outlinePr summaryBelow="1" summaryRight="1"/>
    <s:pageSetUpPr/>
  </s:sheetPr>
  <s:dimension ref="A1:F21"/>
  <s:sheetViews>
    <s:sheetView showGridLines="0" workbookViewId="0">
      <s:pane ySplit="1" topLeftCell="A2" activePane="bottomLeft" state="frozen"/>
      <s:selection pane="bottomLeft" activeCell="A1" sqref="A1"/>
    </s:sheetView>
  </s:sheetViews>
  <s:sheetFormatPr baseColWidth="8" defaultRowHeight="15"/>
  <s:cols>
    <s:col width="14" customWidth="1" style="48" min="1" max="1"/>
    <s:col width="30" customWidth="1" style="48" min="2" max="3"/>
    <s:col width="48" customWidth="1" style="48" min="4" max="4"/>
    <s:col width="24" customWidth="1" style="48" min="5" max="5"/>
    <s:col width="12" customWidth="1" style="48" min="6" max="6"/>
  </s:cols>
  <s:sheetData>
    <s:row r="1" ht="27.95" customHeight="1" s="48">
      <s:c r="A1" s="24" t="inlineStr">
        <s:is>
          <s:t>Area</s:t>
        </s:is>
      </s:c>
      <s:c r="B1" s="24" t="inlineStr">
        <s:is>
          <s:t>Route</s:t>
        </s:is>
      </s:c>
      <s:c r="C1" s="24" t="inlineStr">
        <s:is>
          <s:t>Page / Purpose</s:t>
        </s:is>
      </s:c>
      <s:c r="D1" s="24" t="inlineStr">
        <s:is>
          <s:t>Primary Components</s:t>
        </s:is>
      </s:c>
      <s:c r="E1" s="24" t="inlineStr">
        <s:is>
          <s:t>Auth / Scope</s:t>
        </s:is>
      </s:c>
      <s:c r="F1" s="24" t="inlineStr">
        <s:is>
          <s:t>GA/Growth</s:t>
        </s:is>
      </s:c>
    </s:row>
    <s:row r="2">
      <s:c r="A2" s="25" t="inlineStr">
        <s:is>
          <s:t>Public</s:t>
        </s:is>
      </s:c>
      <s:c r="B2" s="25" t="inlineStr">
        <s:is>
          <s:t>/</s:t>
        </s:is>
      </s:c>
      <s:c r="C2" s="25" t="inlineStr">
        <s:is>
          <s:t>Landing</s:t>
        </s:is>
      </s:c>
      <s:c r="D2" s="25" t="inlineStr">
        <s:is>
          <s:t>Header; PageHero; PageSection; PageFeature; PageCTA; Footer</s:t>
        </s:is>
      </s:c>
      <s:c r="E2" s="25" t="inlineStr">
        <s:is>
          <s:t>Public</s:t>
        </s:is>
      </s:c>
      <s:c r="F2" s="25" t="inlineStr">
        <s:is>
          <s:t>GA</s:t>
        </s:is>
      </s:c>
    </s:row>
    <s:row r="3">
      <s:c r="A3" s="25" t="inlineStr">
        <s:is>
          <s:t>Public</s:t>
        </s:is>
      </s:c>
      <s:c r="B3" s="25" t="inlineStr">
        <s:is>
          <s:t>/pricing</s:t>
        </s:is>
      </s:c>
      <s:c r="C3" s="25" t="inlineStr">
        <s:is>
          <s:t>Pricing</s:t>
        </s:is>
      </s:c>
      <s:c r="D3" s="25" t="inlineStr">
        <s:is>
          <s:t>PricingTable; Accordion; PageCTA</s:t>
        </s:is>
      </s:c>
      <s:c r="E3" s="25" t="inlineStr">
        <s:is>
          <s:t>Public</s:t>
        </s:is>
      </s:c>
      <s:c r="F3" s="25" t="inlineStr">
        <s:is>
          <s:t>GA</s:t>
        </s:is>
      </s:c>
    </s:row>
    <s:row r="4">
      <s:c r="A4" s="25" t="inlineStr">
        <s:is>
          <s:t>Public</s:t>
        </s:is>
      </s:c>
      <s:c r="B4" s="25" t="inlineStr">
        <s:is>
          <s:t>/security</s:t>
        </s:is>
      </s:c>
      <s:c r="C4" s="25" t="inlineStr">
        <s:is>
          <s:t>Security/trust</s:t>
        </s:is>
      </s:c>
      <s:c r="D4" s="25" t="inlineStr">
        <s:is>
          <s:t>PageHeader; PageSection; Accordion</s:t>
        </s:is>
      </s:c>
      <s:c r="E4" s="25" t="inlineStr">
        <s:is>
          <s:t>Public</s:t>
        </s:is>
      </s:c>
      <s:c r="F4" s="25" t="inlineStr">
        <s:is>
          <s:t>GA</s:t>
        </s:is>
      </s:c>
    </s:row>
    <s:row r="5">
      <s:c r="A5" s="25" t="inlineStr">
        <s:is>
          <s:t>Auth</s:t>
        </s:is>
      </s:c>
      <s:c r="B5" s="25" t="inlineStr">
        <s:is>
          <s:t>/login</s:t>
        </s:is>
      </s:c>
      <s:c r="C5" s="25" t="inlineStr">
        <s:is>
          <s:t>Login</s:t>
        </s:is>
      </s:c>
      <s:c r="D5" s="25" t="inlineStr">
        <s:is>
          <s:t>AuthForm; Alert</s:t>
        </s:is>
      </s:c>
      <s:c r="E5" s="25" t="inlineStr">
        <s:is>
          <s:t>Public/anon</s:t>
        </s:is>
      </s:c>
      <s:c r="F5" s="25" t="inlineStr">
        <s:is>
          <s:t>GA</s:t>
        </s:is>
      </s:c>
    </s:row>
    <s:row r="6">
      <s:c r="A6" s="25" t="inlineStr">
        <s:is>
          <s:t>Auth</s:t>
        </s:is>
      </s:c>
      <s:c r="B6" s="25" t="inlineStr">
        <s:is>
          <s:t>/signup</s:t>
        </s:is>
      </s:c>
      <s:c r="C6" s="25" t="inlineStr">
        <s:is>
          <s:t>Signup</s:t>
        </s:is>
      </s:c>
      <s:c r="D6" s="25" t="inlineStr">
        <s:is>
          <s:t>AuthForm; Form</s:t>
        </s:is>
      </s:c>
      <s:c r="E6" s="25" t="inlineStr">
        <s:is>
          <s:t>Public/anon</s:t>
        </s:is>
      </s:c>
      <s:c r="F6" s="25" t="inlineStr">
        <s:is>
          <s:t>GA</s:t>
        </s:is>
      </s:c>
    </s:row>
    <s:row r="7">
      <s:c r="A7" s="25" t="inlineStr">
        <s:is>
          <s:t>App</s:t>
        </s:is>
      </s:c>
      <s:c r="B7" s="25" t="inlineStr">
        <s:is>
          <s:t>/app/:org/:brand/overview</s:t>
        </s:is>
      </s:c>
      <s:c r="C7" s="25" t="inlineStr">
        <s:is>
          <s:t>Marketing HQ</s:t>
        </s:is>
      </s:c>
      <s:c r="D7" s="25" t="inlineStr">
        <s:is>
          <s:t>Dashboard components; Card; Progress; Drawer</s:t>
        </s:is>
      </s:c>
      <s:c r="E7" s="25" t="inlineStr">
        <s:is>
          <s:t>Member + brand scope</s:t>
        </s:is>
      </s:c>
      <s:c r="F7" s="25" t="inlineStr">
        <s:is>
          <s:t>GA</s:t>
        </s:is>
      </s:c>
    </s:row>
    <s:row r="8">
      <s:c r="A8" s="25" t="inlineStr">
        <s:is>
          <s:t>App</s:t>
        </s:is>
      </s:c>
      <s:c r="B8" s="25" t="inlineStr">
        <s:is>
          <s:t>.../strategy</s:t>
        </s:is>
      </s:c>
      <s:c r="C8" s="25" t="inlineStr">
        <s:is>
          <s:t>Strategy Center</s:t>
        </s:is>
      </s:c>
      <s:c r="D8" s="25" t="inlineStr">
        <s:is>
          <s:t>Tabs; Editor; Slideover; Modal</s:t>
        </s:is>
      </s:c>
      <s:c r="E8" s="25" t="inlineStr">
        <s:is>
          <s:t>Marketer+</s:t>
        </s:is>
      </s:c>
      <s:c r="F8" s="25" t="inlineStr">
        <s:is>
          <s:t>GA</s:t>
        </s:is>
      </s:c>
    </s:row>
    <s:row r="9">
      <s:c r="A9" s="25" t="inlineStr">
        <s:is>
          <s:t>App</s:t>
        </s:is>
      </s:c>
      <s:c r="B9" s="25" t="inlineStr">
        <s:is>
          <s:t>.../campaigns</s:t>
        </s:is>
      </s:c>
      <s:c r="C9" s="25" t="inlineStr">
        <s:is>
          <s:t>Campaigns</s:t>
        </s:is>
      </s:c>
      <s:c r="D9" s="25" t="inlineStr">
        <s:is>
          <s:t>Table; Timeline; Drawer; Form</s:t>
        </s:is>
      </s:c>
      <s:c r="E9" s="25" t="inlineStr">
        <s:is>
          <s:t>Marketer+</s:t>
        </s:is>
      </s:c>
      <s:c r="F9" s="25" t="inlineStr">
        <s:is>
          <s:t>GA</s:t>
        </s:is>
      </s:c>
    </s:row>
    <s:row r="10">
      <s:c r="A10" s="25" t="inlineStr">
        <s:is>
          <s:t>App</s:t>
        </s:is>
      </s:c>
      <s:c r="B10" s="25" t="inlineStr">
        <s:is>
          <s:t>.../content</s:t>
        </s:is>
      </s:c>
      <s:c r="C10" s="25" t="inlineStr">
        <s:is>
          <s:t>Content Studio</s:t>
        </s:is>
      </s:c>
      <s:c r="D10" s="25" t="inlineStr">
        <s:is>
          <s:t>Table/Grid; Tabs; Badge; Drawer</s:t>
        </s:is>
      </s:c>
      <s:c r="E10" s="25" t="inlineStr">
        <s:is>
          <s:t>Marketer+</s:t>
        </s:is>
      </s:c>
      <s:c r="F10" s="25" t="inlineStr">
        <s:is>
          <s:t>GA</s:t>
        </s:is>
      </s:c>
    </s:row>
    <s:row r="11">
      <s:c r="A11" s="25" t="inlineStr">
        <s:is>
          <s:t>App</s:t>
        </s:is>
      </s:c>
      <s:c r="B11" s="25" t="inlineStr">
        <s:is>
          <s:t>.../content/new</s:t>
        </s:is>
      </s:c>
      <s:c r="C11" s="25" t="inlineStr">
        <s:is>
          <s:t>Create content</s:t>
        </s:is>
      </s:c>
      <s:c r="D11" s="25" t="inlineStr">
        <s:is>
          <s:t>ChatPrompt; Editor; FileUpload; Tabs; Modal</s:t>
        </s:is>
      </s:c>
      <s:c r="E11" s="25" t="inlineStr">
        <s:is>
          <s:t>Marketer+</s:t>
        </s:is>
      </s:c>
      <s:c r="F11" s="25" t="inlineStr">
        <s:is>
          <s:t>GA</s:t>
        </s:is>
      </s:c>
    </s:row>
    <s:row r="12">
      <s:c r="A12" s="25" t="inlineStr">
        <s:is>
          <s:t>App</s:t>
        </s:is>
      </s:c>
      <s:c r="B12" s="25" t="inlineStr">
        <s:is>
          <s:t>.../calendar</s:t>
        </s:is>
      </s:c>
      <s:c r="C12" s="25" t="inlineStr">
        <s:is>
          <s:t>Calendar</s:t>
        </s:is>
      </s:c>
      <s:c r="D12" s="25" t="inlineStr">
        <s:is>
          <s:t>Calendar/domain view; Popover; Drawer</s:t>
        </s:is>
      </s:c>
      <s:c r="E12" s="25" t="inlineStr">
        <s:is>
          <s:t>Marketer+</s:t>
        </s:is>
      </s:c>
      <s:c r="F12" s="25" t="inlineStr">
        <s:is>
          <s:t>GA</s:t>
        </s:is>
      </s:c>
    </s:row>
    <s:row r="13">
      <s:c r="A13" s="25" t="inlineStr">
        <s:is>
          <s:t>App</s:t>
        </s:is>
      </s:c>
      <s:c r="B13" s="25" t="inlineStr">
        <s:is>
          <s:t>.../gallery</s:t>
        </s:is>
      </s:c>
      <s:c r="C13" s="25" t="inlineStr">
        <s:is>
          <s:t>Gallery</s:t>
        </s:is>
      </s:c>
      <s:c r="D13" s="25" t="inlineStr">
        <s:is>
          <s:t>FileUpload; PageGrid; Card; ContextMenu; Slideover</s:t>
        </s:is>
      </s:c>
      <s:c r="E13" s="25" t="inlineStr">
        <s:is>
          <s:t>Marketer+</s:t>
        </s:is>
      </s:c>
      <s:c r="F13" s="25" t="inlineStr">
        <s:is>
          <s:t>GA</s:t>
        </s:is>
      </s:c>
    </s:row>
    <s:row r="14">
      <s:c r="A14" s="25" t="inlineStr">
        <s:is>
          <s:t>App</s:t>
        </s:is>
      </s:c>
      <s:c r="B14" s="25" t="inlineStr">
        <s:is>
          <s:t>.../analytics</s:t>
        </s:is>
      </s:c>
      <s:c r="C14" s="25" t="inlineStr">
        <s:is>
          <s:t>Analytics</s:t>
        </s:is>
      </s:c>
      <s:c r="D14" s="25" t="inlineStr">
        <s:is>
          <s:t>Card; Table; Tabs; SelectMenu</s:t>
        </s:is>
      </s:c>
      <s:c r="E14" s="25" t="inlineStr">
        <s:is>
          <s:t>Viewer+</s:t>
        </s:is>
      </s:c>
      <s:c r="F14" s="25" t="inlineStr">
        <s:is>
          <s:t>GA</s:t>
        </s:is>
      </s:c>
    </s:row>
    <s:row r="15">
      <s:c r="A15" s="25" t="inlineStr">
        <s:is>
          <s:t>App</s:t>
        </s:is>
      </s:c>
      <s:c r="B15" s="25" t="inlineStr">
        <s:is>
          <s:t>.../integrations</s:t>
        </s:is>
      </s:c>
      <s:c r="C15" s="25" t="inlineStr">
        <s:is>
          <s:t>Connections</s:t>
        </s:is>
      </s:c>
      <s:c r="D15" s="25" t="inlineStr">
        <s:is>
          <s:t>Card; Alert; Progress; Modal</s:t>
        </s:is>
      </s:c>
      <s:c r="E15" s="25" t="inlineStr">
        <s:is>
          <s:t>Admin/Owner</s:t>
        </s:is>
      </s:c>
      <s:c r="F15" s="25" t="inlineStr">
        <s:is>
          <s:t>GA</s:t>
        </s:is>
      </s:c>
    </s:row>
    <s:row r="16">
      <s:c r="A16" s="25" t="inlineStr">
        <s:is>
          <s:t>App</s:t>
        </s:is>
      </s:c>
      <s:c r="B16" s="25" t="inlineStr">
        <s:is>
          <s:t>.../brand</s:t>
        </s:is>
      </s:c>
      <s:c r="C16" s="25" t="inlineStr">
        <s:is>
          <s:t>Brand Brain</s:t>
        </s:is>
      </s:c>
      <s:c r="D16" s="25" t="inlineStr">
        <s:is>
          <s:t>Form; Tabs; Editor; FileUpload</s:t>
        </s:is>
      </s:c>
      <s:c r="E16" s="25" t="inlineStr">
        <s:is>
          <s:t>Admin/Marketer policy</s:t>
        </s:is>
      </s:c>
      <s:c r="F16" s="25" t="inlineStr">
        <s:is>
          <s:t>GA</s:t>
        </s:is>
      </s:c>
    </s:row>
    <s:row r="17">
      <s:c r="A17" s="25" t="inlineStr">
        <s:is>
          <s:t>App</s:t>
        </s:is>
      </s:c>
      <s:c r="B17" s="25" t="inlineStr">
        <s:is>
          <s:t>.../team</s:t>
        </s:is>
      </s:c>
      <s:c r="C17" s="25" t="inlineStr">
        <s:is>
          <s:t>Team</s:t>
        </s:is>
      </s:c>
      <s:c r="D17" s="25" t="inlineStr">
        <s:is>
          <s:t>Table; Modal; SelectMenu</s:t>
        </s:is>
      </s:c>
      <s:c r="E17" s="25" t="inlineStr">
        <s:is>
          <s:t>Admin/Owner</s:t>
        </s:is>
      </s:c>
      <s:c r="F17" s="25" t="inlineStr">
        <s:is>
          <s:t>GA</s:t>
        </s:is>
      </s:c>
    </s:row>
    <s:row r="18">
      <s:c r="A18" s="25" t="inlineStr">
        <s:is>
          <s:t>App</s:t>
        </s:is>
      </s:c>
      <s:c r="B18" s="25" t="inlineStr">
        <s:is>
          <s:t>.../billing</s:t>
        </s:is>
      </s:c>
      <s:c r="C18" s="25" t="inlineStr">
        <s:is>
          <s:t>Billing</s:t>
        </s:is>
      </s:c>
      <s:c r="D18" s="25" t="inlineStr">
        <s:is>
          <s:t>PricingTable; Card; Timeline; Alert</s:t>
        </s:is>
      </s:c>
      <s:c r="E18" s="25" t="inlineStr">
        <s:is>
          <s:t>Owner/billing cap</s:t>
        </s:is>
      </s:c>
      <s:c r="F18" s="25" t="inlineStr">
        <s:is>
          <s:t>GA</s:t>
        </s:is>
      </s:c>
    </s:row>
    <s:row r="19">
      <s:c r="A19" s="25" t="inlineStr">
        <s:is>
          <s:t>Admin</s:t>
        </s:is>
      </s:c>
      <s:c r="B19" s="25" t="inlineStr">
        <s:is>
          <s:t>/admin</s:t>
        </s:is>
      </s:c>
      <s:c r="C19" s="25" t="inlineStr">
        <s:is>
          <s:t>Platform ops</s:t>
        </s:is>
      </s:c>
      <s:c r="D19" s="25" t="inlineStr">
        <s:is>
          <s:t>Dashboard; Table; Tabs; Drawer; Modal</s:t>
        </s:is>
      </s:c>
      <s:c r="E19" s="25" t="inlineStr">
        <s:is>
          <s:t>Platform admin</s:t>
        </s:is>
      </s:c>
      <s:c r="F19" s="25" t="inlineStr">
        <s:is>
          <s:t>GA</s:t>
        </s:is>
      </s:c>
    </s:row>
    <s:row r="20">
      <s:c r="A20" s="25" t="inlineStr">
        <s:is>
          <s:t>Growth</s:t>
        </s:is>
      </s:c>
      <s:c r="B20" s="25" t="inlineStr">
        <s:is>
          <s:t>.../content/carousel</s:t>
        </s:is>
      </s:c>
      <s:c r="C20" s="25" t="inlineStr">
        <s:is>
          <s:t>Carousel composer</s:t>
        </s:is>
      </s:c>
      <s:c r="D20" s="25" t="inlineStr">
        <s:is>
          <s:t>Carousel; Reorder; Drawer</s:t>
        </s:is>
      </s:c>
      <s:c r="E20" s="25" t="inlineStr">
        <s:is>
          <s:t>Marketer+</s:t>
        </s:is>
      </s:c>
      <s:c r="F20" s="25" t="inlineStr">
        <s:is>
          <s:t>Growth</s:t>
        </s:is>
      </s:c>
    </s:row>
    <s:row r="21">
      <s:c r="A21" s="25" t="inlineStr">
        <s:is>
          <s:t>Growth</s:t>
        </s:is>
      </s:c>
      <s:c r="B21" s="25" t="inlineStr">
        <s:is>
          <s:t>.../reports</s:t>
        </s:is>
      </s:c>
      <s:c r="C21" s="25" t="inlineStr">
        <s:is>
          <s:t>Client reports</s:t>
        </s:is>
      </s:c>
      <s:c r="D21" s="25" t="inlineStr">
        <s:is>
          <s:t>PageSection; Card; Table</s:t>
        </s:is>
      </s:c>
      <s:c r="E21" s="25" t="inlineStr">
        <s:is>
          <s:t>Viewer+</s:t>
        </s:is>
      </s:c>
      <s:c r="F21" s="25" t="inlineStr">
        <s:is>
          <s:t>Growth</s:t>
        </s:is>
      </s:c>
    </s:row>
  </s:sheetData>
  <s:autoFilter ref="A1:F21"/>
  <s:pageMargins left="0.75" right="0.75" top="1" bottom="1" header="0.5" footer="0.5"/>
</s:worksheet>
</file>

<file path=xl/worksheets/sheet12.xml><?xml version="1.0" encoding="utf-8"?>
<s:worksheet xmlns:s="http://schemas.openxmlformats.org/spreadsheetml/2006/main">
  <s:sheetPr>
    <s:tabColor rgb="FF8B5CF6"/>
    <s:outlinePr summaryBelow="1" summaryRight="1"/>
    <s:pageSetUpPr/>
  </s:sheetPr>
  <s:dimension ref="A1:E10"/>
  <s:sheetViews>
    <s:sheetView showGridLines="0" workbookViewId="0">
      <s:pane ySplit="1" topLeftCell="A2" activePane="bottomLeft" state="frozen"/>
      <s:selection pane="bottomLeft" activeCell="A1" sqref="A1"/>
    </s:sheetView>
  </s:sheetViews>
  <s:sheetFormatPr baseColWidth="8" defaultRowHeight="15"/>
  <s:cols>
    <s:col width="16" customWidth="1" style="48" min="1" max="1"/>
    <s:col width="34" customWidth="1" style="48" min="2" max="2"/>
    <s:col width="38" customWidth="1" style="48" min="3" max="3"/>
    <s:col width="30" customWidth="1" style="48" min="4" max="4"/>
    <s:col width="26" customWidth="1" style="48" min="5" max="5"/>
  </s:cols>
  <s:sheetData>
    <s:row r="1" ht="27.95" customHeight="1" s="48">
      <s:c r="A1" s="24" t="inlineStr">
        <s:is>
          <s:t>Category</s:t>
        </s:is>
      </s:c>
      <s:c r="B1" s="24" t="inlineStr">
        <s:is>
          <s:t>Nuxt UI Component / Primitive</s:t>
        </s:is>
      </s:c>
      <s:c r="C1" s="24" t="inlineStr">
        <s:is>
          <s:t>Use in Product</s:t>
        </s:is>
      </s:c>
      <s:c r="D1" s="24" t="inlineStr">
        <s:is>
          <s:t>Customization Policy</s:t>
        </s:is>
      </s:c>
      <s:c r="E1" s="24" t="inlineStr">
        <s:is>
          <s:t>Motion Policy</s:t>
        </s:is>
      </s:c>
    </s:row>
    <s:row r="2">
      <s:c r="A2" s="25" t="inlineStr">
        <s:is>
          <s:t>Dashboard</s:t>
        </s:is>
      </s:c>
      <s:c r="B2" s="25" t="inlineStr">
        <s:is>
          <s:t>DashboardGroup / Sidebar / Navbar / Toolbar / Search</s:t>
        </s:is>
      </s:c>
      <s:c r="C2" s="25" t="inlineStr">
        <s:is>
          <s:t>Authenticated shell and navigation</s:t>
        </s:is>
      </s:c>
      <s:c r="D2" s="25" t="inlineStr">
        <s:is>
          <s:t>Theme + slots; no fork</s:t>
        </s:is>
      </s:c>
      <s:c r="E2" s="25" t="inlineStr">
        <s:is>
          <s:t>Sidebar/layout subtle only</s:t>
        </s:is>
      </s:c>
    </s:row>
    <s:row r="3">
      <s:c r="A3" s="25" t="inlineStr">
        <s:is>
          <s:t>Landing</s:t>
        </s:is>
      </s:c>
      <s:c r="B3" s="25" t="inlineStr">
        <s:is>
          <s:t>PageHero / PageSection / PageFeature / PricingTable / PageCTA</s:t>
        </s:is>
      </s:c>
      <s:c r="C3" s="25" t="inlineStr">
        <s:is>
          <s:t>Marketing pages</s:t>
        </s:is>
      </s:c>
      <s:c r="D3" s="25" t="inlineStr">
        <s:is>
          <s:t>Brand tokens + content composition</s:t>
        </s:is>
      </s:c>
      <s:c r="E3" s="25" t="inlineStr">
        <s:is>
          <s:t>Scroll/hero purposeful, lazy</s:t>
        </s:is>
      </s:c>
    </s:row>
    <s:row r="4">
      <s:c r="A4" s="25" t="inlineStr">
        <s:is>
          <s:t>AI Chat</s:t>
        </s:is>
      </s:c>
      <s:c r="B4" s="25" t="inlineStr">
        <s:is>
          <s:t>ChatMessages / ChatPrompt / ChatTool / ChatPalette</s:t>
        </s:is>
      </s:c>
      <s:c r="C4" s="25" t="inlineStr">
        <s:is>
          <s:t>Marketing copilot</s:t>
        </s:is>
      </s:c>
      <s:c r="D4" s="25" t="inlineStr">
        <s:is>
          <s:t>Custom tool cards allowed</s:t>
        </s:is>
      </s:c>
      <s:c r="E4" s="25" t="inlineStr">
        <s:is>
          <s:t>Status transitions; no fake typing delay</s:t>
        </s:is>
      </s:c>
    </s:row>
    <s:row r="5">
      <s:c r="A5" s="25" t="inlineStr">
        <s:is>
          <s:t>Editor</s:t>
        </s:is>
      </s:c>
      <s:c r="B5" s="25" t="inlineStr">
        <s:is>
          <s:t>Editor / EditorToolbar</s:t>
        </s:is>
      </s:c>
      <s:c r="C5" s="25" t="inlineStr">
        <s:is>
          <s:t>Captions/long text</s:t>
        </s:is>
      </s:c>
      <s:c r="D5" s="25" t="inlineStr">
        <s:is>
          <s:t>Domain controls around editor</s:t>
        </s:is>
      </s:c>
      <s:c r="E5" s="25" t="inlineStr">
        <s:is>
          <s:t>Minimal</s:t>
        </s:is>
      </s:c>
    </s:row>
    <s:row r="6">
      <s:c r="A6" s="25" t="inlineStr">
        <s:is>
          <s:t>Forms</s:t>
        </s:is>
      </s:c>
      <s:c r="B6" s="25" t="inlineStr">
        <s:is>
          <s:t>Form / FormField / Input / SelectMenu / InputTags / Switch</s:t>
        </s:is>
      </s:c>
      <s:c r="C6" s="25" t="inlineStr">
        <s:is>
          <s:t>Onboarding/settings</s:t>
        </s:is>
      </s:c>
      <s:c r="D6" s="25" t="inlineStr">
        <s:is>
          <s:t>Shared validation/error mapping</s:t>
        </s:is>
      </s:c>
      <s:c r="E6" s="25" t="inlineStr">
        <s:is>
          <s:t>Micro interaction only</s:t>
        </s:is>
      </s:c>
    </s:row>
    <s:row r="7">
      <s:c r="A7" s="25" t="inlineStr">
        <s:is>
          <s:t>Media</s:t>
        </s:is>
      </s:c>
      <s:c r="B7" s="25" t="inlineStr">
        <s:is>
          <s:t>FileUpload / Progress / Card / Slideover</s:t>
        </s:is>
      </s:c>
      <s:c r="C7" s="25" t="inlineStr">
        <s:is>
          <s:t>Gallery/video upload</s:t>
        </s:is>
      </s:c>
      <s:c r="D7" s="25" t="inlineStr">
        <s:is>
          <s:t>Custom preview/crop domain widgets</s:t>
        </s:is>
      </s:c>
      <s:c r="E7" s="25" t="inlineStr">
        <s:is>
          <s:t>Progress/reorder only</s:t>
        </s:is>
      </s:c>
    </s:row>
    <s:row r="8">
      <s:c r="A8" s="25" t="inlineStr">
        <s:is>
          <s:t>Data</s:t>
        </s:is>
      </s:c>
      <s:c r="B8" s="25" t="inlineStr">
        <s:is>
          <s:t>Table / Timeline / Empty / Skeleton / ScrollArea</s:t>
        </s:is>
      </s:c>
      <s:c r="C8" s="25" t="inlineStr">
        <s:is>
          <s:t>Admin/analytics/history</s:t>
        </s:is>
      </s:c>
      <s:c r="D8" s="25" t="inlineStr">
        <s:is>
          <s:t>Server pagination; accessible summary</s:t>
        </s:is>
      </s:c>
      <s:c r="E8" s="25" t="inlineStr">
        <s:is>
          <s:t>Loading transitions only</s:t>
        </s:is>
      </s:c>
    </s:row>
    <s:row r="9">
      <s:c r="A9" s="25" t="inlineStr">
        <s:is>
          <s:t>Overlay</s:t>
        </s:is>
      </s:c>
      <s:c r="B9" s="25" t="inlineStr">
        <s:is>
          <s:t>Modal / Drawer / Slideover / Popover / Toast</s:t>
        </s:is>
      </s:c>
      <s:c r="C9" s="25" t="inlineStr">
        <s:is>
          <s:t>Confirm/detail/mobile</s:t>
        </s:is>
      </s:c>
      <s:c r="D9" s="25" t="inlineStr">
        <s:is>
          <s:t>Consistent sizes/escape/focus</s:t>
        </s:is>
      </s:c>
      <s:c r="E9" s="25" t="inlineStr">
        <s:is>
          <s:t>Enter/exit, reduced motion</s:t>
        </s:is>
      </s:c>
    </s:row>
    <s:row r="10">
      <s:c r="A10" s="25" t="inlineStr">
        <s:is>
          <s:t>Navigation</s:t>
        </s:is>
      </s:c>
      <s:c r="B10" s="25" t="inlineStr">
        <s:is>
          <s:t>CommandPalette / Breadcrumb / Tabs / Stepper</s:t>
        </s:is>
      </s:c>
      <s:c r="C10" s="25" t="inlineStr">
        <s:is>
          <s:t>Search/onboarding/settings</s:t>
        </s:is>
      </s:c>
      <s:c r="D10" s="25" t="inlineStr">
        <s:is>
          <s:t>No ad-hoc nav component</s:t>
        </s:is>
      </s:c>
      <s:c r="E10" s="25" t="inlineStr">
        <s:is>
          <s:t>Small layout transition</s:t>
        </s:is>
      </s:c>
    </s:row>
  </s:sheetData>
  <s:autoFilter ref="A1:E10"/>
  <s:pageMargins left="0.75" right="0.75" top="1" bottom="1" header="0.5" footer="0.5"/>
</s:worksheet>
</file>

<file path=xl/worksheets/sheet13.xml><?xml version="1.0" encoding="utf-8"?>
<s:worksheet xmlns:s="http://schemas.openxmlformats.org/spreadsheetml/2006/main">
  <s:sheetPr>
    <s:tabColor rgb="FFDC2626"/>
    <s:outlinePr summaryBelow="1" summaryRight="1"/>
    <s:pageSetUpPr/>
  </s:sheetPr>
  <s:dimension ref="A1:E9"/>
  <s:sheetViews>
    <s:sheetView showGridLines="0" workbookViewId="0">
      <s:pane ySplit="1" topLeftCell="A2" activePane="bottomLeft" state="frozen"/>
      <s:selection pane="bottomLeft" activeCell="A1" sqref="A1"/>
    </s:sheetView>
  </s:sheetViews>
  <s:sheetFormatPr baseColWidth="8" defaultRowHeight="15"/>
  <s:cols>
    <s:col width="18" customWidth="1" style="48" min="1" max="1"/>
    <s:col width="28" customWidth="1" style="48" min="2" max="2"/>
    <s:col width="38" customWidth="1" style="48" min="3" max="3"/>
    <s:col width="42" customWidth="1" style="48" min="4" max="4"/>
    <s:col width="18" customWidth="1" style="48" min="5" max="5"/>
  </s:cols>
  <s:sheetData>
    <s:row r="1" ht="27.95" customHeight="1" s="48">
      <s:c r="A1" s="24" t="inlineStr">
        <s:is>
          <s:t>Area</s:t>
        </s:is>
      </s:c>
      <s:c r="B1" s="24" t="inlineStr">
        <s:is>
          <s:t>Unit</s:t>
        </s:is>
      </s:c>
      <s:c r="C1" s="24" t="inlineStr">
        <s:is>
          <s:t>Integration/Contract</s:t>
        </s:is>
      </s:c>
      <s:c r="D1" s="24" t="inlineStr">
        <s:is>
          <s:t>E2E/Fault</s:t>
        </s:is>
      </s:c>
      <s:c r="E1" s="24" t="inlineStr">
        <s:is>
          <s:t>Release Evidence</s:t>
        </s:is>
      </s:c>
    </s:row>
    <s:row r="2">
      <s:c r="A2" s="25" t="inlineStr">
        <s:is>
          <s:t>Tenancy/Auth</s:t>
        </s:is>
      </s:c>
      <s:c r="B2" s="25" t="inlineStr">
        <s:is>
          <s:t>Policy/state rules</s:t>
        </s:is>
      </s:c>
      <s:c r="C2" s="25" t="inlineStr">
        <s:is>
          <s:t>RLS + API authorization matrix</s:t>
        </s:is>
      </s:c>
      <s:c r="D2" s="25" t="inlineStr">
        <s:is>
          <s:t>Cross-tenant negative journeys</s:t>
        </s:is>
      </s:c>
      <s:c r="E2" s="25" t="inlineStr">
        <s:is>
          <s:t>RG-02/RG-03</s:t>
        </s:is>
      </s:c>
    </s:row>
    <s:row r="3">
      <s:c r="A3" s="25" t="inlineStr">
        <s:is>
          <s:t>Meta</s:t>
        </s:is>
      </s:c>
      <s:c r="B3" s="25" t="inlineStr">
        <s:is>
          <s:t>Adapter taxonomy</s:t>
        </s:is>
      </s:c>
      <s:c r="C3" s="25" t="inlineStr">
        <s:is>
          <s:t>OAuth/webhook/publish contracts</s:t>
        </s:is>
      </s:c>
      <s:c r="D3" s="25" t="inlineStr">
        <s:is>
          <s:t>revoked token/429/5xx/timeout/duplicate</s:t>
        </s:is>
      </s:c>
      <s:c r="E3" s="25" t="inlineStr">
        <s:is>
          <s:t>RG-04/RG-07</s:t>
        </s:is>
      </s:c>
    </s:row>
    <s:row r="4">
      <s:c r="A4" s="25" t="inlineStr">
        <s:is>
          <s:t>AI</s:t>
        </s:is>
      </s:c>
      <s:c r="B4" s="25" t="inlineStr">
        <s:is>
          <s:t>schema/policy/cost rules</s:t>
        </s:is>
      </s:c>
      <s:c r="C4" s="25" t="inlineStr">
        <s:is>
          <s:t>provider adapter snapshots</s:t>
        </s:is>
      </s:c>
      <s:c r="D4" s="25" t="inlineStr">
        <s:is>
          <s:t>golden + injection + cost loop</s:t>
        </s:is>
      </s:c>
      <s:c r="E4" s="25" t="inlineStr">
        <s:is>
          <s:t>RG-06/RG-16/RG-18</s:t>
        </s:is>
      </s:c>
    </s:row>
    <s:row r="5">
      <s:c r="A5" s="25" t="inlineStr">
        <s:is>
          <s:t>Media</s:t>
        </s:is>
      </s:c>
      <s:c r="B5" s="25" t="inlineStr">
        <s:is>
          <s:t>validation/crop rules</s:t>
        </s:is>
      </s:c>
      <s:c r="C5" s="25" t="inlineStr">
        <s:is>
          <s:t>storage/worker contracts</s:t>
        </s:is>
      </s:c>
      <s:c r="D5" s="25" t="inlineStr">
        <s:is>
          <s:t>bad file/oversize/retry</s:t>
        </s:is>
      </s:c>
      <s:c r="E5" s="25" t="inlineStr">
        <s:is>
          <s:t>RG-05</s:t>
        </s:is>
      </s:c>
    </s:row>
    <s:row r="6">
      <s:c r="A6" s="25" t="inlineStr">
        <s:is>
          <s:t>Frontend</s:t>
        </s:is>
      </s:c>
      <s:c r="B6" s="25" t="inlineStr">
        <s:is>
          <s:t>composables/components</s:t>
        </s:is>
      </s:c>
      <s:c r="C6" s="25" t="inlineStr">
        <s:is>
          <s:t>API error mapping</s:t>
        </s:is>
      </s:c>
      <s:c r="D6" s="25" t="inlineStr">
        <s:is>
          <s:t>Playwright desktop/mobile + visual + a11y</s:t>
        </s:is>
      </s:c>
      <s:c r="E6" s="25" t="inlineStr">
        <s:is>
          <s:t>RG-17</s:t>
        </s:is>
      </s:c>
    </s:row>
    <s:row r="7">
      <s:c r="A7" s="25" t="inlineStr">
        <s:is>
          <s:t>Billing</s:t>
        </s:is>
      </s:c>
      <s:c r="B7" s="25" t="inlineStr">
        <s:is>
          <s:t>state machine</s:t>
        </s:is>
      </s:c>
      <s:c r="C7" s="25" t="inlineStr">
        <s:is>
          <s:t>webhook replay</s:t>
        </s:is>
      </s:c>
      <s:c r="D7" s="25" t="inlineStr">
        <s:is>
          <s:t>failed/out-of-order/upgrade/downgrade</s:t>
        </s:is>
      </s:c>
      <s:c r="E7" s="25" t="inlineStr">
        <s:is>
          <s:t>RG-08</s:t>
        </s:is>
      </s:c>
    </s:row>
    <s:row r="8">
      <s:c r="A8" s="25" t="inlineStr">
        <s:is>
          <s:t>DR/Ops</s:t>
        </s:is>
      </s:c>
      <s:c r="B8" s="25" t="inlineStr">
        <s:is>
          <s:t>runbook helpers</s:t>
        </s:is>
      </s:c>
      <s:c r="C8" s="25" t="inlineStr">
        <s:is>
          <s:t>backup/restore configuration</s:t>
        </s:is>
      </s:c>
      <s:c r="D8" s="25" t="inlineStr">
        <s:is>
          <s:t>restore + queue/provider fault campaign</s:t>
        </s:is>
      </s:c>
      <s:c r="E8" s="25" t="inlineStr">
        <s:is>
          <s:t>RG-10/RG-13</s:t>
        </s:is>
      </s:c>
    </s:row>
    <s:row r="9">
      <s:c r="A9" s="25" t="inlineStr">
        <s:is>
          <s:t>Growth formats</s:t>
        </s:is>
      </s:c>
      <s:c r="B9" s="25" t="inlineStr">
        <s:is>
          <s:t>format validator</s:t>
        </s:is>
      </s:c>
      <s:c r="C9" s="25" t="inlineStr">
        <s:is>
          <s:t>provider capability contract</s:t>
        </s:is>
      </s:c>
      <s:c r="D9" s="25" t="inlineStr">
        <s:is>
          <s:t>carousel/video partial failure/duplicate</s:t>
        </s:is>
      </s:c>
      <s:c r="E9" s="25" t="inlineStr">
        <s:is>
          <s:t>RG-19</s:t>
        </s:is>
      </s:c>
    </s:row>
  </s:sheetData>
  <s:autoFilter ref="A1:E9"/>
  <s:pageMargins left="0.75" right="0.75" top="1" bottom="1" header="0.5" footer="0.5"/>
</s:worksheet>
</file>

<file path=xl/worksheets/sheet14.xml><?xml version="1.0" encoding="utf-8"?>
<s:worksheet xmlns:s="http://schemas.openxmlformats.org/spreadsheetml/2006/main">
  <s:sheetPr>
    <s:tabColor rgb="FFD946EF"/>
    <s:outlinePr summaryBelow="1" summaryRight="1"/>
    <s:pageSetUpPr/>
  </s:sheetPr>
  <s:dimension ref="A1:E9"/>
  <s:sheetViews>
    <s:sheetView showGridLines="0" workbookViewId="0">
      <s:pane ySplit="1" topLeftCell="A2" activePane="bottomLeft" state="frozen"/>
      <s:selection pane="bottomLeft" activeCell="A1" sqref="A1"/>
    </s:sheetView>
  </s:sheetViews>
  <s:sheetFormatPr baseColWidth="8" defaultRowHeight="15"/>
  <s:cols>
    <s:col width="24" customWidth="1" style="48" min="1" max="1"/>
    <s:col width="44" customWidth="1" style="48" min="2" max="2"/>
    <s:col width="38" customWidth="1" style="48" min="3" max="3"/>
    <s:col width="34" customWidth="1" style="48" min="4" max="4"/>
    <s:col width="14" customWidth="1" style="48" min="5" max="5"/>
  </s:cols>
  <s:sheetData>
    <s:row r="1" ht="27.95" customHeight="1" s="48">
      <s:c r="A1" s="24" t="inlineStr">
        <s:is>
          <s:t>Eval Dimension</s:t>
        </s:is>
      </s:c>
      <s:c r="B1" s="24" t="inlineStr">
        <s:is>
          <s:t>Minimum Release Expectation</s:t>
        </s:is>
      </s:c>
      <s:c r="C1" s="24" t="inlineStr">
        <s:is>
          <s:t>Automated Evidence</s:t>
        </s:is>
      </s:c>
      <s:c r="D1" s="24" t="inlineStr">
        <s:is>
          <s:t>Human Evidence</s:t>
        </s:is>
      </s:c>
      <s:c r="E1" s="24" t="inlineStr">
        <s:is>
          <s:t>Blocking?</s:t>
        </s:is>
      </s:c>
    </s:row>
    <s:row r="2">
      <s:c r="A2" s="25" t="inlineStr">
        <s:is>
          <s:t>Factuality</s:t>
        </s:is>
      </s:c>
      <s:c r="B2" s="25" t="inlineStr">
        <s:is>
          <s:t>No unsupported hard commercial claim in release golden set</s:t>
        </s:is>
      </s:c>
      <s:c r="C2" s="25" t="inlineStr">
        <s:is>
          <s:t>fact_ref validator + golden cases</s:t>
        </s:is>
      </s:c>
      <s:c r="D2" s="25" t="inlineStr">
        <s:is>
          <s:t>Vertical sample review</s:t>
        </s:is>
      </s:c>
      <s:c r="E2" s="25" t="inlineStr">
        <s:is>
          <s:t>Yes</s:t>
        </s:is>
      </s:c>
    </s:row>
    <s:row r="3">
      <s:c r="A3" s="25" t="inlineStr">
        <s:is>
          <s:t>Safety</s:t>
        </s:is>
      </s:c>
      <s:c r="B3" s="25" t="inlineStr">
        <s:is>
          <s:t>All BLOCK fixtures blocked; WARN explainable</s:t>
        </s:is>
      </s:c>
      <s:c r="C3" s="25" t="inlineStr">
        <s:is>
          <s:t>policy decision fixtures</s:t>
        </s:is>
      </s:c>
      <s:c r="D3" s="25" t="inlineStr">
        <s:is>
          <s:t>Policy reviewer sample</s:t>
        </s:is>
      </s:c>
      <s:c r="E3" s="25" t="inlineStr">
        <s:is>
          <s:t>Yes</s:t>
        </s:is>
      </s:c>
    </s:row>
    <s:row r="4">
      <s:c r="A4" s="25" t="inlineStr">
        <s:is>
          <s:t>Prompt injection</s:t>
        </s:is>
      </s:c>
      <s:c r="B4" s="25" t="inlineStr">
        <s:is>
          <s:t>No unauthorized tool/policy change from untrusted content</s:t>
        </s:is>
      </s:c>
      <s:c r="C4" s="25" t="inlineStr">
        <s:is>
          <s:t>adversarial suite</s:t>
        </s:is>
      </s:c>
      <s:c r="D4" s="25" t="inlineStr">
        <s:is>
          <s:t>Targeted red-team review</s:t>
        </s:is>
      </s:c>
      <s:c r="E4" s="25" t="inlineStr">
        <s:is>
          <s:t>Yes</s:t>
        </s:is>
      </s:c>
    </s:row>
    <s:row r="5">
      <s:c r="A5" s="25" t="inlineStr">
        <s:is>
          <s:t>Brand adherence</s:t>
        </s:is>
      </s:c>
      <s:c r="B5" s="25" t="inlineStr">
        <s:is>
          <s:t>Meets agreed per-vertical score</s:t>
        </s:is>
      </s:c>
      <s:c r="C5" s="25" t="inlineStr">
        <s:is>
          <s:t>tone/banned-term checks + rubric model where approved</s:t>
        </s:is>
      </s:c>
      <s:c r="D5" s="25" t="inlineStr">
        <s:is>
          <s:t>Brand fit 1-5 sample</s:t>
        </s:is>
      </s:c>
      <s:c r="E5" s="25" t="inlineStr">
        <s:is>
          <s:t>Yes</s:t>
        </s:is>
      </s:c>
    </s:row>
    <s:row r="6">
      <s:c r="A6" s="25" t="inlineStr">
        <s:is>
          <s:t>Strategy usefulness</s:t>
        </s:is>
      </s:c>
      <s:c r="B6" s="25" t="inlineStr">
        <s:is>
          <s:t>Majority accepted without full rewrite in UAT</s:t>
        </s:is>
      </s:c>
      <s:c r="C6" s="25" t="inlineStr">
        <s:is>
          <s:t>structured completeness checks</s:t>
        </s:is>
      </s:c>
      <s:c r="D6" s="25" t="inlineStr">
        <s:is>
          <s:t>Dental/restaurant/real-estate UAT</s:t>
        </s:is>
      </s:c>
      <s:c r="E6" s="25" t="inlineStr">
        <s:is>
          <s:t>Yes for GA</s:t>
        </s:is>
      </s:c>
    </s:row>
    <s:row r="7">
      <s:c r="A7" s="25" t="inlineStr">
        <s:is>
          <s:t>Visual integrity</s:t>
        </s:is>
      </s:c>
      <s:c r="B7" s="25" t="inlineStr">
        <s:is>
          <s:t>Exact critical text/logo; no unacceptable asset distortion</s:t>
        </s:is>
      </s:c>
      <s:c r="C7" s="25" t="inlineStr">
        <s:is>
          <s:t>deterministic compositor/image QA</s:t>
        </s:is>
      </s:c>
      <s:c r="D7" s="25" t="inlineStr">
        <s:is>
          <s:t>Visual sample</s:t>
        </s:is>
      </s:c>
      <s:c r="E7" s="25" t="inlineStr">
        <s:is>
          <s:t>Yes</s:t>
        </s:is>
      </s:c>
    </s:row>
    <s:row r="8">
      <s:c r="A8" s="25" t="inlineStr">
        <s:is>
          <s:t>Learning</s:t>
        </s:is>
      </s:c>
      <s:c r="B8" s="25" t="inlineStr">
        <s:is>
          <s:t>Recommendation cites metrics and uncertainty</s:t>
        </s:is>
      </s:c>
      <s:c r="C8" s="25" t="inlineStr">
        <s:is>
          <s:t>metric_ref validation</s:t>
        </s:is>
      </s:c>
      <s:c r="D8" s="25" t="inlineStr">
        <s:is>
          <s:t>Analyst/product review</s:t>
        </s:is>
      </s:c>
      <s:c r="E8" s="25" t="inlineStr">
        <s:is>
          <s:t>Yes</s:t>
        </s:is>
      </s:c>
    </s:row>
    <s:row r="9">
      <s:c r="A9" s="25" t="inlineStr">
        <s:is>
          <s:t>Cost</s:t>
        </s:is>
      </s:c>
      <s:c r="B9" s="25" t="inlineStr">
        <s:is>
          <s:t>Representative plan workload stays inside approved envelope</s:t>
        </s:is>
      </s:c>
      <s:c r="C9" s="25" t="inlineStr">
        <s:is>
          <s:t>usage replay/reservation ledger</s:t>
        </s:is>
      </s:c>
      <s:c r="D9" s="25" t="inlineStr">
        <s:is>
          <s:t>Commercial owner review</s:t>
        </s:is>
      </s:c>
      <s:c r="E9" s="25" t="inlineStr">
        <s:is>
          <s:t>Yes</s:t>
        </s:is>
      </s:c>
    </s:row>
  </s:sheetData>
  <s:autoFilter ref="A1:E9"/>
  <s:pageMargins left="0.75" right="0.75" top="1" bottom="1" header="0.5" footer="0.5"/>
</s:worksheet>
</file>

<file path=xl/worksheets/sheet15.xml><?xml version="1.0" encoding="utf-8"?>
<s:worksheet xmlns:s="http://schemas.openxmlformats.org/spreadsheetml/2006/main">
  <s:sheetPr>
    <s:tabColor rgb="FF0F766E"/>
    <s:outlinePr summaryBelow="1" summaryRight="1"/>
    <s:pageSetUpPr/>
  </s:sheetPr>
  <s:dimension ref="A1:C32"/>
  <s:sheetViews>
    <s:sheetView showGridLines="0" workbookViewId="0">
      <s:pane xSplit="2" ySplit="4" topLeftCell="C5" activePane="bottomRight" state="frozen"/>
      <s:selection pane="bottomRight" activeCell="A1" sqref="A1"/>
      <s:selection pane="bottomLeft" activeCell="A1" sqref="A1"/>
      <s:selection pane="topRight" activeCell="A1" sqref="A1"/>
    </s:sheetView>
  </s:sheetViews>
  <s:sheetFormatPr baseColWidth="8" defaultRowHeight="15"/>
  <s:cols>
    <s:col width="28" customWidth="1" style="48" min="1" max="1"/>
    <s:col width="16" customWidth="1" style="48" min="2" max="2"/>
    <s:col width="116" customWidth="1" style="48" min="3" max="3"/>
  </s:cols>
  <s:sheetData>
    <s:row r="1" ht="29.1" customHeight="1" s="48">
      <s:c r="A1" s="46" t="inlineStr">
        <s:is>
          <s:t>Rrit · Gjendja reale e 185 task-eve</s:t>
        </s:is>
      </s:c>
      <s:c r="B1" s="63" t="n"/>
      <s:c r="C1" s="63" t="n"/>
    </s:row>
    <s:row r="2" ht="27.95" customHeight="1" s="48">
      <s:c r="A2" s="47" t="inlineStr">
        <s:is>
          <s:t>Rishikim i thelluar 2026-09-07 · 133 skedarë / 185 task-e · prova lokale; jo pranim Production GA.</s:t>
        </s:is>
      </s:c>
      <s:c r="B2" s="63" t="n"/>
      <s:c r="C2" s="63" t="n"/>
    </s:row>
    <s:row r="3">
      <s:c r="A3" s="47" t="n"/>
      <s:c r="B3" s="45" t="n"/>
      <s:c r="C3" s="45" t="n"/>
    </s:row>
    <s:row r="4" ht="27" customHeight="1" s="48">
      <s:c r="A4" s="46" t="inlineStr">
        <s:is>
          <s:t>Statusi kontraktual</s:t>
        </s:is>
      </s:c>
      <s:c r="B4" s="46" t="inlineStr">
        <s:is>
          <s:t>Task-e</s:t>
        </s:is>
      </s:c>
      <s:c r="C4" s="46" t="inlineStr">
        <s:is>
          <s:t>Kuptimi</s:t>
        </s:is>
      </s:c>
    </s:row>
    <s:row r="5" ht="47.1" customHeight="1" s="48">
      <s:c r="A5" s="64" t="inlineStr">
        <s:is>
          <s:t>In Review</s:t>
        </s:is>
      </s:c>
      <s:c r="B5" s="65">
        <s:f>COUNTIF('02_BACKLOG'!$L$5:$L$189,A5)</s:f>
        <s:v>23</s:v>
      </s:c>
      <s:c r="C5" s="65" t="inlineStr">
        <s:is>
          <s:t>Implementimi kryesor i scope-it aktual ekziston; mbeten pranim/teste të plota dhe release gates. Nuk barazohet me Done.</s:t>
        </s:is>
      </s:c>
    </s:row>
    <s:row r="6" ht="47.1" customHeight="1" s="48">
      <s:c r="A6" s="66" t="inlineStr">
        <s:is>
          <s:t>In Progress</s:t>
        </s:is>
      </s:c>
      <s:c r="B6" s="67">
        <s:f>COUNTIF('02_BACKLOG'!$L$5:$L$189,A6)</s:f>
        <s:v>90</s:v>
      </s:c>
      <s:c r="C6" s="67" t="inlineStr">
        <s:is>
          <s:t>Ka implementim të pjesshëm; Z tregon realizimin, AA hapat e mbetur, AB provën e kërkuar, AC rezultatin aktual dhe AD kodin/gjetjet.</s:t>
        </s:is>
      </s:c>
    </s:row>
    <s:row r="7" ht="47.1" customHeight="1" s="48">
      <s:c r="A7" s="68" t="inlineStr">
        <s:is>
          <s:t>Not Started</s:t>
        </s:is>
      </s:c>
      <s:c r="B7" s="69">
        <s:f>COUNTIF('02_BACKLOG'!$L$5:$L$189,A7)</s:f>
        <s:v>35</s:v>
      </s:c>
      <s:c r="C7" s="69" t="inlineStr">
        <s:is>
          <s:t>Nuk u gjet implementim/artefakt pranimi për kërkesën. Kriteri mbetet i hapur.</s:t>
        </s:is>
      </s:c>
    </s:row>
    <s:row r="8" ht="47.1" customHeight="1" s="48">
      <s:c r="A8" s="70" t="inlineStr">
        <s:is>
          <s:t>Blocked</s:t>
        </s:is>
      </s:c>
      <s:c r="B8" s="71">
        <s:f>COUNTIF('02_BACKLOG'!$L$5:$L$189,A8)</s:f>
        <s:v>2</s:v>
      </s:c>
      <s:c r="C8" s="71" t="inlineStr">
        <s:is>
          <s:t>Meta App/access/credentials mungojnë; krijimi dhe verifikimi kërkon pronarin e llogarisë Meta.</s:t>
        </s:is>
      </s:c>
    </s:row>
    <s:row r="9" ht="47.1" customHeight="1" s="48">
      <s:c r="A9" s="72" t="inlineStr">
        <s:is>
          <s:t>Deferred</s:t>
        </s:is>
      </s:c>
      <s:c r="B9" s="73">
        <s:f>COUNTIF('02_BACKLOG'!$L$5:$L$189,A9)</s:f>
        <s:v>35</s:v>
      </s:c>
      <s:c r="C9" s="73" t="inlineStr">
        <s:is>
          <s:t>Shtyrë nga scope-i posts-only ose zgjerim pas-GA. Detyra/ID/estimates ruhen; nuk është përfunduar.</s:t>
        </s:is>
      </s:c>
    </s:row>
    <s:row r="10" ht="47.1" customHeight="1" s="48">
      <s:c r="A10" s="74" t="inlineStr">
        <s:is>
          <s:t>Done</s:t>
        </s:is>
      </s:c>
      <s:c r="B10" s="75">
        <s:f>COUNTIF('02_BACKLOG'!$L$5:$L$189,A10)</s:f>
        <s:v>0</s:v>
      </s:c>
      <s:c r="C10" s="75" t="inlineStr">
        <s:is>
          <s:t>Asnjë task i plotë origjinal nuk ka të gjitha provat dhe gates për pranim formal. Funksionaliteti real lokal është shënuar veçmas.</s:t>
        </s:is>
      </s:c>
    </s:row>
    <s:row r="11">
      <s:c r="A11" s="47" t="inlineStr">
        <s:is>
          <s:t>Gjithsej</s:t>
        </s:is>
      </s:c>
      <s:c r="B11" s="45">
        <s:f>SUM(B5:B10)</s:f>
        <s:v>185</s:v>
      </s:c>
      <s:c r="C11" s="45" t="inlineStr">
        <s:is>
          <s:t>185 ID origjinale; asnjë task nuk është fshirë ose numëruar dy herë.</s:t>
        </s:is>
      </s:c>
    </s:row>
    <s:row r="12">
      <s:c r="A12" s="47" t="n"/>
      <s:c r="B12" s="45" t="n"/>
      <s:c r="C12" s="45" t="n"/>
    </s:row>
    <s:row r="13">
      <s:c r="A13" s="47" t="n"/>
      <s:c r="B13" s="45" t="n"/>
      <s:c r="C13" s="45" t="n"/>
    </s:row>
    <s:row r="14" ht="65.09999999999999" customHeight="1" s="48">
      <s:c r="A14" s="47" t="inlineStr">
        <s:is>
          <s:t>Faza e përdorimit</s:t>
        </s:is>
      </s:c>
      <s:c r="B14" s="45" t="inlineStr">
        <s:is>
          <s:t>Aplikacion funksional lokal me llogari/PostgreSQL dhe rrjedhë manuale të postimeve. Meta live, AI live, pagesat dhe gatishmëria enterprise nuk janë pranuar.</s:t>
        </s:is>
      </s:c>
      <s:c r="C14" s="63" t="n"/>
    </s:row>
    <s:row r="15" ht="87.95" customHeight="1" s="48">
      <s:c r="A15" s="47" t="inlineStr">
        <s:is>
          <s:t>Prova: unit + PostgreSQL</s:t>
        </s:is>
      </s:c>
      <s:c r="B15" s="45" t="inlineStr">
        <s:is>
          <s:t>33/33 kaluan: hq-deep-audit-unit.log. Schema testuese nga migrimet, trial/identities/expiry, media, validation, crypto/transport, workspace/DST/auth config.</s:t>
        </s:is>
      </s:c>
      <s:c r="C15" s="63" t="n"/>
    </s:row>
    <s:row r="16" ht="87.95" customHeight="1" s="48">
      <s:c r="A16" s="47" t="inlineStr">
        <s:is>
          <s:t>Prova: browser</s:t>
        </s:is>
      </s:c>
      <s:c r="B16" s="45" t="inlineStr">
        <s:is>
          <s:t>8/8 në dy suite: live rerun 4/4 dhe registration/optional-meta 4/4. Chromium 1440px/390px, përfshirë axe në 7 faqe dashboard-i. Log-et: hq-deep-audit-live-e2e-rerun.log dhe hq-deep-audit-registration-meta-e2e.log.</s:t>
        </s:is>
      </s:c>
      <s:c r="C16" s="63" t="n"/>
    </s:row>
    <s:row r="17" ht="87.95" customHeight="1" s="48">
      <s:c r="A17" s="47" t="inlineStr">
        <s:is>
          <s:t>Prova: TypeScript / lint</s:t>
        </s:is>
      </s:c>
      <s:c r="B17" s="45" t="inlineStr">
        <s:is>
          <s:t>Full eslint . dhe TypeScript app/server kaluan: hq-deep-audit-lint.log, hq-deep-audit-app-types.log, hq-deep-audit-server-types.log. Pas DA-17 kaloi edhe eslint i live.spec.ts.</s:t>
        </s:is>
      </s:c>
      <s:c r="C17" s="63" t="n"/>
    </s:row>
    <s:row r="18" ht="87.95" customHeight="1" s="48">
      <s:c r="A18" s="47" t="inlineStr">
        <s:is>
          <s:t>Dështimi i regjistruar dhe korrigjimi</s:t>
        </s:is>
      </s:c>
      <s:c r="B18" s="45" t="inlineStr">
        <s:is>
          <s:t>live.spec.ts fillimisht 2 passed/2 failed: kërkonte numrin 2 kur pamja kompakte shfaq vetëm numrin aktual. DA-17 korrigjon selektorin te Next Page pa hequr assertions; rerun 4/4. Raporti i vjetër demo në VALIDATION.md nuk zëvendëson këto rezultate.</s:t>
        </s:is>
      </s:c>
      <s:c r="C18" s="63" t="n"/>
    </s:row>
    <s:row r="19" ht="65.09999999999999" customHeight="1" s="48">
      <s:c r="A19" s="47" t="inlineStr">
        <s:is>
          <s:t>Mjedisi aktual</s:t>
        </s:is>
      </s:c>
      <s:c r="B19" s="45" t="inlineStr">
        <s:is>
          <s:t>Node lokal raporton v26.5.0; .nvmrc nuk gjendet në disk. README/CI përmend Node 24. Kërkohet riprodhim i toolchain-it të synuar; konfigurimet sekrete nuk janë kopjuar në workbook.</s:t>
        </s:is>
      </s:c>
      <s:c r="C19" s="63" t="n"/>
    </s:row>
    <s:row r="20" ht="65.09999999999999" customHeight="1" s="48">
      <s:c r="A20" s="47" t="inlineStr">
        <s:is>
          <s:t>Konfigurime që mungojnë</s:t>
        </s:is>
      </s:c>
      <s:c r="B20" s="45" t="inlineStr">
        <s:is>
          <s:t>META_APP_ID, META_APP_SECRET, META_LOGIN_CONFIG_ID, META_REDIRECT_URI, OPENAI_API_KEY, OPENAI_MODEL dhe PUBLISHING_ENABLED mungojnë. Nuk u krye publikim ose AI generation live gjatë auditit.</s:t>
        </s:is>
      </s:c>
      <s:c r="C20" s="63" t="n"/>
    </s:row>
    <s:row r="21" ht="65.09999999999999" customHeight="1" s="48">
      <s:c r="A21" s="47" t="inlineStr">
        <s:is>
          <s:t>Meta opsionale</s:t>
        </s:is>
      </s:c>
      <s:c r="B21" s="45" t="inlineStr">
        <s:is>
          <s:t>Miratimi dhe kalendari përdorin scope content/manual. Lidhja Meta kërkohet për import dhe publikim real. Një lidhje e mëvonshme nuk e bën automatik një postim manual.</s:t>
        </s:is>
      </s:c>
      <s:c r="C21" s="63" t="n"/>
    </s:row>
    <s:row r="22" ht="65.09999999999999" customHeight="1" s="48">
      <s:c r="A22" s="47" t="inlineStr">
        <s:is>
          <s:t>Trial / euro / pa demo</s:t>
        </s:is>
      </s:c>
      <s:c r="B22" s="45" t="inlineStr">
        <s:is>
          <s:t>72 orë nga krijimi i biznesit, pa zgjatje në retry; ledger për email/browser/social identities. Browser cookie nuk është hardware fingerprint. Çmimet vijnë nga DB në EUR, por janë propozime pa checkout aktiv.</s:t>
        </s:is>
      </s:c>
      <s:c r="C22" s="63" t="n"/>
    </s:row>
    <s:row r="23" ht="65.09999999999999" customHeight="1" s="48">
      <s:c r="A23" s="47" t="inlineStr">
        <s:is>
          <s:t>Ndryshim arkitekture</s:t>
        </s:is>
      </s:c>
      <s:c r="B23" s="45" t="inlineStr">
        <s:is>
          <s:t>Backend-i aktual është Nitro + Better Auth + PostgreSQL; plani FastAPI/Supabase dhe kërkesat RLS/outbox nuk janë realizuar siç specifikohen. AUD-2026-05 kërkon ADR; siguria nuk hiqet nga scope-i.</s:t>
        </s:is>
      </s:c>
      <s:c r="C23" s="63" t="n"/>
    </s:row>
    <s:row r="24" ht="87.95" customHeight="1" s="48">
      <s:c r="A24" s="47" t="inlineStr">
        <s:is>
          <s:t>Leximi dhe ndryshimet e auditit</s:t>
        </s:is>
      </s:c>
      <s:c r="B24" s="45" t="inlineStr">
        <s:is>
          <s:t>133 skedarë first-party, 10451 rreshta, përfshirë 7 migrimet, server/app/shared/test/config. 185 task-e me realizim/mbetje/prova veçmas; 17 gjetje DA-01..DA-17. Ndryshimi i vetëm në kod është selektori i testit DA-17.</s:t>
        </s:is>
      </s:c>
      <s:c r="C24" s="63" t="n"/>
    </s:row>
    <s:row r="25" ht="87.95" customHeight="1" s="48">
      <s:c r="A25" s="47" t="inlineStr">
        <s:is>
          <s:t>Backup para rishikimit të dytë</s:t>
        </s:is>
      </s:c>
      <s:c r="B25" s="45" t="inlineStr">
        <s:is>
          <s:t>docs/backups/AI_Marketing_Platform_Engineering_Master_Backlog_2_Developers_v1.1.before-deep-audit-2026-09-07.xlsx</s:t>
        </s:is>
      </s:c>
      <s:c r="C25" s="63" t="n"/>
    </s:row>
    <s:row r="26" ht="87.95" customHeight="1" s="48">
      <s:c r="A26" s="47" t="inlineStr">
        <s:is>
          <s:t>Kufiri i auditit</s:t>
        </s:is>
      </s:c>
      <s:c r="B26" s="45" t="inlineStr">
        <s:is>
          <s:t>U përjashtuan node_modules, .nuxt/.output, raportet e gjeneruara, imazhet binare dhe vlerat sekrete .env. Package/config dhe dokumentet u krahasuan veçmas. Lexim i plotë i burimit first-party nuk garanton mungesë defektesh.</s:t>
        </s:is>
      </s:c>
    </s:row>
    <s:row r="27" ht="87.95" customHeight="1" s="48">
      <s:c r="A27" s="47" t="inlineStr">
        <s:is>
          <s:t>Nuk u ekzekutuan</s:t>
        </s:is>
      </s:c>
      <s:c r="B27" s="45" t="inlineStr">
        <s:is>
          <s:t>Clean install/build production, hosted CI, Meta/OpenAI/billing live, Firefox/WebKit, load/restore/pentest/UAT. Asnjë publikim real ose pagesë nuk u krye.</s:t>
        </s:is>
      </s:c>
    </s:row>
    <s:row r="28" ht="87.95" customHeight="1" s="48">
      <s:c r="A28" s="47" t="inlineStr">
        <s:is>
          <s:t>Si lexohet secili task</s:t>
        </s:is>
      </s:c>
      <s:c r="B28" s="45" t="inlineStr">
        <s:is>
          <s:t>02_BACKLOG: ID në A, status formal L, zbatim Y, kryer Z, mbetur AA, kriter/provë e kërkuar AB, provë aktuale AC, kod/gjetje AD. 15_GJETJET përmban trigger, korrigjim dhe test për çdo defekt.</s:t>
        </s:is>
      </s:c>
    </s:row>
    <s:row r="29" ht="90" customHeight="1" s="48">
      <s:c r="A29" s="47" t="inlineStr">
        <s:is>
          <s:t>Progresi i implementimit të task-eve partial</s:t>
        </s:is>
      </s:c>
      <s:c r="B29" s="45" t="inlineStr">
        <s:is>
          <s:t>31 task-e partial u rifreskuan; 0 u promovuan artificialisht në Done. Migrimet 0008–0010, 42/42 unit/integration, 8/8 E2E, lint dhe app/server types kaluan. Shiko 15_GJETJET kolonat J–K dhe backlog kolonat Z/AA/AC/AD.</s:t>
        </s:is>
      </s:c>
    </s:row>
    <s:row r="30" ht="90" customHeight="1" s="48">
      <s:c r="A30" s="47" t="inlineStr">
        <s:is>
          <s:t>Progresi i implementimit të task-eve partial — 2026-09-08</s:t>
        </s:is>
      </s:c>
      <s:c r="B30" s="45" t="inlineStr">
        <s:is>
          <s:t>44 task-e partial u rifreskuan; 0 u promovuan artificialisht në Done. Migrimet 0001–0013, 47/47 unit/integration, 8/8 E2E, lint dhe app/server types kaluan. Shiko 15_GJETJET kolonat J–K dhe backlog kolonat Z/AA/AC/AD.</s:t>
        </s:is>
      </s:c>
    </s:row>
    <s:row r="31" ht="90" customHeight="1" s="48">
      <s:c r="A31" s="47" t="inlineStr">
        <s:is>
          <s:t>Riklasifikimi code-complete dhe handoff për dy programerë</s:t>
        </s:is>
      </s:c>
      <s:c r="B31" s="45" t="inlineStr">
        <s:is>
          <s:t>16 task-e u riklasifikuan In Progress→In Review pas krahasimit me kodin aktual. U indeksuan 174 skedarë first-party; 02_BACKLOG ka kolonat AE–AJ dhe 16_HANDOFF_2_DEV ka listën e punës. Done mbetet vetëm për task-e me gate të kaluar.</s:t>
        </s:is>
      </s:c>
    </s:row>
    <s:row r="32" ht="90" customHeight="1" s="48">
      <s:c r="A32" s="47" t="inlineStr">
        <s:is>
          <s:t>S0-A03 production-grade toolchain implementation</s:t>
        </s:is>
      </s:c>
      <s:c r="B32" s="45" t="inlineStr">
        <s:is>
          <s:t>Nitro/TypeScript mapping, exact Node/npm pins, lock enforcement, deterministic tests, pre-commit, shared CI commands and Docker clean-room gate implemented. 24 unit + 28 integration tests and production build passed; hosted CI/reviewer RG-01 sign-off remains.</s:t>
        </s:is>
      </s:c>
    </s:row>
  </s:sheetData>
  <s:mergeCells count="14">
    <s:mergeCell ref="B24:C24"/>
    <s:mergeCell ref="B21:C21"/>
    <s:mergeCell ref="B16:C16"/>
    <s:mergeCell ref="B15:C15"/>
    <s:mergeCell ref="B25:C25"/>
    <s:mergeCell ref="A1:C1"/>
    <s:mergeCell ref="B19:C19"/>
    <s:mergeCell ref="B20:C20"/>
    <s:mergeCell ref="B23:C23"/>
    <s:mergeCell ref="B22:C22"/>
    <s:mergeCell ref="B14:C14"/>
    <s:mergeCell ref="B17:C17"/>
    <s:mergeCell ref="B18:C18"/>
    <s:mergeCell ref="A2:C2"/>
  </s:mergeCells>
  <s:pageMargins left="0.75" right="0.75" top="1" bottom="1" header="0.5" footer="0.5"/>
</s:worksheet>
</file>

<file path=xl/worksheets/sheet16.xml><?xml version="1.0" encoding="utf-8"?>
<s:worksheet xmlns:s="http://schemas.openxmlformats.org/spreadsheetml/2006/main">
  <s:sheetPr>
    <s:outlinePr summaryBelow="1" summaryRight="1"/>
    <s:pageSetUpPr/>
  </s:sheetPr>
  <s:dimension ref="A1:K18"/>
  <s:sheetViews>
    <s:sheetView showGridLines="0" workbookViewId="0">
      <s:pane xSplit="3" ySplit="1" topLeftCell="D2" activePane="bottomRight" state="frozen"/>
      <s:selection pane="bottomRight" activeCell="A1" sqref="A1"/>
      <s:selection pane="bottomLeft" activeCell="A1" sqref="A1"/>
      <s:selection pane="topRight" activeCell="A1" sqref="A1"/>
    </s:sheetView>
  </s:sheetViews>
  <s:sheetFormatPr baseColWidth="8" defaultRowHeight="15"/>
  <s:cols>
    <s:col width="12" customWidth="1" style="48" min="1" max="1"/>
    <s:col width="13" customWidth="1" style="48" min="2" max="2"/>
    <s:col width="43" customWidth="1" style="48" min="3" max="3"/>
    <s:col width="37" customWidth="1" style="48" min="4" max="4"/>
    <s:col width="60" customWidth="1" style="48" min="5" max="5"/>
    <s:col width="72" customWidth="1" style="48" min="6" max="6"/>
    <s:col width="70" customWidth="1" style="48" min="7" max="7"/>
    <s:col width="72" customWidth="1" style="48" min="8" max="8"/>
    <s:col width="60" customWidth="1" style="48" min="9" max="9"/>
    <s:col width="22" customWidth="1" style="48" min="10" max="10"/>
    <s:col width="74" customWidth="1" style="48" min="11" max="11"/>
  </s:cols>
  <s:sheetData>
    <s:row r="1" ht="35.1" customHeight="1" s="48">
      <s:c r="A1" s="76" t="inlineStr">
        <s:is>
          <s:t>ID</s:t>
        </s:is>
      </s:c>
      <s:c r="B1" s="76" t="inlineStr">
        <s:is>
          <s:t>Prioriteti</s:t>
        </s:is>
      </s:c>
      <s:c r="C1" s="76" t="inlineStr">
        <s:is>
          <s:t>Gjetja</s:t>
        </s:is>
      </s:c>
      <s:c r="D1" s="76" t="inlineStr">
        <s:is>
          <s:t>Task-et</s:t>
        </s:is>
      </s:c>
      <s:c r="E1" s="76" t="inlineStr">
        <s:is>
          <s:t>Kodi</s:t>
        </s:is>
      </s:c>
      <s:c r="F1" s="76" t="inlineStr">
        <s:is>
          <s:t>Shkaku / sjellja</s:t>
        </s:is>
      </s:c>
      <s:c r="G1" s="76" t="inlineStr">
        <s:is>
          <s:t>Çfarë mbetet</s:t>
        </s:is>
      </s:c>
      <s:c r="H1" s="76" t="inlineStr">
        <s:is>
          <s:t>Prova e korrigjimit</s:t>
        </s:is>
      </s:c>
      <s:c r="I1" s="76" t="inlineStr">
        <s:is>
          <s:t>Niveli i evidencës</s:t>
        </s:is>
      </s:c>
      <s:c r="J1" s="76" t="inlineStr">
        <s:is>
          <s:t>Statusi pas implementimit</s:t>
        </s:is>
      </s:c>
      <s:c r="K1" s="76" t="inlineStr">
        <s:is>
          <s:t>Evidenca e re / kufiri</s:t>
        </s:is>
      </s:c>
    </s:row>
    <s:row r="2" ht="155.1" customHeight="1" s="48">
      <s:c r="A2" s="34" t="inlineStr">
        <s:is>
          <s:t>DA-01</s:t>
        </s:is>
      </s:c>
      <s:c r="B2" s="34" t="inlineStr">
        <s:is>
          <s:t>P1</s:t>
        </s:is>
      </s:c>
      <s:c r="C2" s="34" t="inlineStr">
        <s:is>
          <s:t>Afati i Instagram-it fillon nga krijimi i punës</s:t>
        </s:is>
      </s:c>
      <s:c r="D2" s="34" t="inlineStr">
        <s:is>
          <s:t>S4-A04, S4-A05, S4-A09, S8-A11</s:t>
        </s:is>
      </s:c>
      <s:c r="E2" s="34" t="inlineStr">
        <s:is>
          <s:t>apps/web/server/utils/publishing.ts:235</s:t>
        </s:is>
      </s:c>
      <s:c r="F2" s="34" t="inlineStr">
        <s:is>
          <s:t>Në IN_PROGRESS, kufiri njëorësh matet nga publication_jobs.created_at. Një punë e planifikuar më shumë se një orë përpara mund të dështojë në kontrollin e parë të container-it të sapokrijuar.</s:t>
        </s:is>
      </s:c>
      <s:c r="G2" s="34" t="inlineStr">
        <s:is>
          <s:t>Ruaj fillimin/afatin e përpunimit të container-it veçmas nga krijimi i orarit dhe përdore gjatë poll/restart.</s:t>
        </s:is>
      </s:c>
      <s:c r="H2" s="34" t="inlineStr">
        <s:is>
          <s:t>Fixture: job i krijuar dje, container i krijuar tani, IN_PROGRESS pastaj FINISHED; publikim vetëm një herë. Provo veçmas skadimin real të container-it.</s:t>
        </s:is>
      </s:c>
      <s:c r="I2" s="34" t="inlineStr">
        <s:is>
          <s:t>Gjetje nga rruga e kodit; nuk u ekzekutua kundrejt Meta-s.</s:t>
        </s:is>
      </s:c>
      <s:c r="J2" s="34" t="inlineStr">
        <s:is>
          <s:t>Resolved locally</s:t>
        </s:is>
      </s:c>
      <s:c r="K2" s="34" t="inlineStr">
        <s:is>
          <s:t>container_started_at + 59/61 minute boundary test; live Meta remains a task gate.</s:t>
        </s:is>
      </s:c>
    </s:row>
    <s:row r="3" ht="155.1" customHeight="1" s="48">
      <s:c r="A3" s="35" t="inlineStr">
        <s:is>
          <s:t>DA-02</s:t>
        </s:is>
      </s:c>
      <s:c r="B3" s="35" t="inlineStr">
        <s:is>
          <s:t>P1</s:t>
        </s:is>
      </s:c>
      <s:c r="C3" s="35" t="inlineStr">
        <s:is>
          <s:t>Worker-i merr vetëm një punë çdo 30 sekonda</s:t>
        </s:is>
      </s:c>
      <s:c r="D3" s="35" t="inlineStr">
        <s:is>
          <s:t>S4-A03, S5-A09, S6-A07</s:t>
        </s:is>
      </s:c>
      <s:c r="E3" s="35" t="inlineStr">
        <s:is>
          <s:t>apps/web/server/plugins/publisher.ts:15
apps/web/server/utils/publishing.ts:160</s:t>
        </s:is>
      </s:c>
      <s:c r="F3" s="35" t="inlineStr">
        <s:is>
          <s:t>Çdo tick merr një biznes sipas ID-së dhe një punë. Intervali vendos rreth dy marrje pune/minutë për proces para vonesave të provider-it; nuk ka batch/concurrency të konfigurueshme ose drejtësi sipas orarit global.</s:t>
        </s:is>
      </s:c>
      <s:c r="G3" s="35" t="inlineStr">
        <s:is>
          <s:t>Përpuno batch të kufizuar me concurrency të kontrolluar, renditje të drejtë të punëve të vonuara dhe metrika queue-age.</s:t>
        </s:is>
      </s:c>
      <s:c r="H3" s="35" t="inlineStr">
        <s:is>
          <s:t>Burst nga disa biznese në të njëjtin orar, dy worker-a, pa dyfishime ose uri të një biznesi; mat vonesën ndaj objektivit të planifikuar.</s:t>
        </s:is>
      </s:c>
      <s:c r="I3" s="35" t="inlineStr">
        <s:is>
          <s:t>Kufiri rrjedh nga intervali dhe LIMIT 1; nuk është benchmark i matur.</s:t>
        </s:is>
      </s:c>
      <s:c r="J3" s="35" t="inlineStr">
        <s:is>
          <s:t>Partially addressed</s:t>
        </s:is>
      </s:c>
      <s:c r="K3" s="35" t="inlineStr">
        <s:is>
          <s:t>Bounded batch, oldest-due fairness, configurable poll and queue-age readiness; multi-worker load proof remains.</s:t>
        </s:is>
      </s:c>
    </s:row>
    <s:row r="4" ht="155.1" customHeight="1" s="48">
      <s:c r="A4" s="34" t="inlineStr">
        <s:is>
          <s:t>DA-03</s:t>
        </s:is>
      </s:c>
      <s:c r="B4" s="34" t="inlineStr">
        <s:is>
          <s:t>P1</s:t>
        </s:is>
      </s:c>
      <s:c r="C4" s="34" t="inlineStr">
        <s:is>
          <s:t>Postimi failed nuk ka veprim rikuperimi në editor</s:t>
        </s:is>
      </s:c>
      <s:c r="D4" s="34" t="inlineStr">
        <s:is>
          <s:t>S4-B04, S4-B06, S7-B03, S7-B08</s:t>
        </s:is>
      </s:c>
      <s:c r="E4" s="34" t="inlineStr">
        <s:is>
          <s:t>apps/web/app/components/ContentEditor.vue:150
apps/web/app/components/ContentEditor.vue:427
apps/web/app/components/ContentEditor.vue:467
apps/web/server/utils/publishing.ts:115</s:t>
        </s:is>
      </s:c>
      <s:c r="F4" s="34" t="inlineStr">
        <s:is>
          <s:t>Failed shfaq checkbox kontrolli, por butonat Mirato/Kthe në draft shfaqen vetëm për review; editori lejon ndryshim vetëm në draft/review. Skema lejon failed→approved, por UI nuk e ekspozon rrugën.</s:t>
        </s:is>
      </s:c>
      <s:c r="G4" s="34" t="inlineStr">
        <s:is>
          <s:t>Shto rikuperim sipas kodit të dështimit me kontroll të freskët dhe konfirmim; mbaje uncertain të bllokuar derisa të zgjidhet rezultati.</s:t>
        </s:is>
      </s:c>
      <s:c r="H4" s="34" t="inlineStr">
        <s:is>
          <s:t>E2E për failed të sigurt, media/auth error dhe uncertain; përdoruesi arrin korrigjimin pa shkaktuar publikim të dyfishtë.</s:t>
        </s:is>
      </s:c>
      <s:c r="I4" s="34" t="inlineStr">
        <s:is>
          <s:t>Gjetje statike nga kushtet e template-it dhe state machine; nuk është riprodhim me publikim real.</s:t>
        </s:is>
      </s:c>
      <s:c r="J4" s="34" t="inlineStr">
        <s:is>
          <s:t>Partially addressed</s:t>
        </s:is>
      </s:c>
      <s:c r="K4" s="34" t="inlineStr">
        <s:is>
          <s:t>Failed can return to draft or re-approval; full provider error-code E2E remains.</s:t>
        </s:is>
      </s:c>
    </s:row>
    <s:row r="5" ht="155.1" customHeight="1" s="48">
      <s:c r="A5" s="35" t="inlineStr">
        <s:is>
          <s:t>DA-04</s:t>
        </s:is>
      </s:c>
      <s:c r="B5" s="35" t="inlineStr">
        <s:is>
          <s:t>P1</s:t>
        </s:is>
      </s:c>
      <s:c r="C5" s="35" t="inlineStr">
        <s:is>
          <s:t>Uncertain mund të bllokojë rilidhjen pas disconnect</s:t>
        </s:is>
      </s:c>
      <s:c r="D5" s="35" t="inlineStr">
        <s:is>
          <s:t>S2-B08, S4-A06, S4-B06, S7-A06</s:t>
        </s:is>
      </s:c>
      <s:c r="E5" s="35" t="inlineStr">
        <s:is>
          <s:t>apps/web/server/api/meta/disconnect.post.ts:26
apps/web/server/api/meta/callback.get.ts:38
apps/web/server/api/meta/select.post.ts:50</s:t>
        </s:is>
      </s:c>
      <s:c r="F5" s="35" t="inlineStr">
        <s:is>
          <s:t>Disconnect ruan punën uncertain por fshin lidhjen. Callback/select refuzojnë lidhje kur ekziston uncertain. Mungon reconciler/API operative që ta zgjidhë gjendjen.</s:t>
        </s:is>
      </s:c>
      <s:c r="G5" s="35" t="inlineStr">
        <s:is>
          <s:t>Përfundo zgjidhjen e rezultatit me prova nga provider-i dhe një rrugë të audituar rikuperimi/rilidhjeje që nuk ridërgon verbërisht postimin.</s:t>
        </s:is>
      </s:c>
      <s:c r="H5" s="35" t="inlineStr">
        <s:is>
          <s:t>Timeout pas efektit të jashtëm → uncertain → disconnect → verifikim rezultati → reconnect; ruaj identitetin e target-it dhe mos dyfisho.</s:t>
        </s:is>
      </s:c>
      <s:c r="I5" s="35" t="inlineStr">
        <s:is>
          <s:t>Sekuencë e identifikuar nga kushtet server; prova fault-injection mbetet e hapur.</s:t>
        </s:is>
      </s:c>
      <s:c r="J5" s="35" t="inlineStr">
        <s:is>
          <s:t>Resolved locally</s:t>
        </s:is>
      </s:c>
      <s:c r="K5" s="35" t="inlineStr">
        <s:is>
          <s:t>Timeout-after-side-effect provider fixture reconciles one exact result without a second write; live Meta remains a release gate.</s:t>
        </s:is>
      </s:c>
    </s:row>
    <s:row r="6" ht="155.1" customHeight="1" s="48">
      <s:c r="A6" s="34" t="inlineStr">
        <s:is>
          <s:t>DA-05</s:t>
        </s:is>
      </s:c>
      <s:c r="B6" s="34" t="inlineStr">
        <s:is>
          <s:t>P1</s:t>
        </s:is>
      </s:c>
      <s:c r="C6" s="34" t="inlineStr">
        <s:is>
          <s:t>Historiku i importuar nuk lidhet me llogarinë burimore</s:t>
        </s:is>
      </s:c>
      <s:c r="D6" s="34" t="inlineStr">
        <s:is>
          <s:t>S2-A07, S2-B06, S2-B07, S3-A05</s:t>
        </s:is>
      </s:c>
      <s:c r="E6" s="34" t="inlineStr">
        <s:is>
          <s:t>apps/web/server/api/meta/sync.post.ts:82
apps/web/server/api/meta/posts.get.ts:23
apps/web/server/api/meta/select.post.ts:59</s:t>
        </s:is>
      </s:c>
      <s:c r="F6" s="34" t="inlineStr">
        <s:is>
          <s:t>Social posts ruhen sipas business/channel/provider_id pa source account. Ndryshimi i faqes nuk i arkivon/fshin importet e vjetra; query dhe konteksti AI mund t'i përziejnë me historikun e faqes së re.</s:t>
        </s:is>
      </s:c>
      <s:c r="G6" s="34" t="inlineStr">
        <s:is>
          <s:t>Ruaj source account dhe versionin e lidhjes; filtro/arkivo importet kur ndryshon faqja dhe rifresko cursor-in/kontekstin e AI.</s:t>
        </s:is>
      </s:c>
      <s:c r="H6" s="34" t="inlineStr">
        <s:is>
          <s:t>Import nga faqja A, lidh faqen B, import i ri: lista dhe konteksti i B përmbajnë vetëm burimet e zgjedhura, me provenance të ruajtur.</s:t>
        </s:is>
      </s:c>
      <s:c r="I6" s="34" t="inlineStr">
        <s:is>
          <s:t>Gjetje nga skema dhe query; nuk u provua ndërrim me dy faqe reale Meta.</s:t>
        </s:is>
      </s:c>
      <s:c r="J6" s="34" t="inlineStr">
        <s:is>
          <s:t>Resolved locally</s:t>
        </s:is>
      </s:c>
      <s:c r="K6" s="34" t="inlineStr">
        <s:is>
          <s:t>source_account_id migration/query/AI filtering and two-source DB test pass; live two-page test remains a release gate.</s:t>
        </s:is>
      </s:c>
    </s:row>
    <s:row r="7" ht="155.1" customHeight="1" s="48">
      <s:c r="A7" s="35" t="inlineStr">
        <s:is>
          <s:t>DA-06</s:t>
        </s:is>
      </s:c>
      <s:c r="B7" s="35" t="inlineStr">
        <s:is>
          <s:t>P1</s:t>
        </s:is>
      </s:c>
      <s:c r="C7" s="35" t="inlineStr">
        <s:is>
          <s:t>Login dhe recovery varen nga gatishmëria e regjistrimit</s:t>
        </s:is>
      </s:c>
      <s:c r="D7" s="35" t="inlineStr">
        <s:is>
          <s:t>S0-B04, S6-B05, S8-B12</s:t>
        </s:is>
      </s:c>
      <s:c r="E7" s="35" t="inlineStr">
        <s:is>
          <s:t>apps/web/app/components/AuthSurface.vue:74
apps/web/server/api/capabilities.get.ts:23</s:t>
        </s:is>
      </s:c>
      <s:c r="F7" s="35" t="inlineStr">
        <s:is>
          <s:t>Submit kontrollon capabilities.registration për të gjitha mënyrat e auth. Registration kërkon edhe trial policy/config; dështimi i tyre mund të ndalë nga UI hyrjen/rikuperimin e një llogarie ekzistuese.</s:t>
        </s:is>
      </s:c>
      <s:c r="G7" s="35" t="inlineStr">
        <s:is>
          <s:t>Ndaj gatishmërinë e login, signup, verification dhe reset; problemi i trial-it të ndalë vetëm veprimin që varet prej tij.</s:t>
        </s:is>
      </s:c>
      <s:c r="H7" s="35" t="inlineStr">
        <s:is>
          <s:t>Llogari ekzistuese me trial policy të padisponueshme: login lejohet kur auth punon; signup jep gabim të qartë; recovery ndjek vetëm gatishmërinë e emailit/auth.</s:t>
        </s:is>
      </s:c>
      <s:c r="I7" s="35" t="inlineStr">
        <s:is>
          <s:t>Gjetje statike. Testet lokale të auth kalojnë në konfigurimin normal, jo në këtë fault mode.</s:t>
        </s:is>
      </s:c>
      <s:c r="J7" s="35" t="inlineStr">
        <s:is>
          <s:t>Resolved locally</s:t>
        </s:is>
      </s:c>
      <s:c r="K7" s="35" t="inlineStr">
        <s:is>
          <s:t>Login/signup/recovery readiness split and degradation tests pass.</s:t>
        </s:is>
      </s:c>
    </s:row>
    <s:row r="8" ht="155.1" customHeight="1" s="48">
      <s:c r="A8" s="34" t="inlineStr">
        <s:is>
          <s:t>DA-07</s:t>
        </s:is>
      </s:c>
      <s:c r="B8" s="34" t="inlineStr">
        <s:is>
          <s:t>P1</s:t>
        </s:is>
      </s:c>
      <s:c r="C8" s="34" t="inlineStr">
        <s:is>
          <s:t>Historiku nuk është snapshot i plotë immutable</s:t>
        </s:is>
      </s:c>
      <s:c r="D8" s="34" t="inlineStr">
        <s:is>
          <s:t>S3-A07, S3-B06, S4-A01, S4-B01, S4-B07</s:t>
        </s:is>
      </s:c>
      <s:c r="E8" s="34" t="inlineStr">
        <s:is>
          <s:t>apps/web/server/api/workspaces/[id].put.ts
apps/web/shared/schemas/workspace.ts
apps/web/server/utils/post-validation.ts</s:t>
        </s:is>
      </s:c>
      <s:c r="F8" s="34" t="inlineStr">
        <s:is>
          <s:t>Historiku ruan caption/version/at, jo fotografinë, titullin, kanalin dhe provenance të çdo versioni. Statuset gjithashtu rrisin versionin; fingerprint-i i validimit lidhet me përmbajtjen, jo me një content_version immutable.</s:t>
        </s:is>
      </s:c>
      <s:c r="G8" s="34" t="inlineStr">
        <s:is>
          <s:t>Ndaj content revision nga workflow state; ruaj snapshot të plotë dhe approval/validation/attempt records që referojnë të njëjtin version.</s:t>
        </s:is>
      </s:c>
      <s:c r="H8" s="34" t="inlineStr">
        <s:is>
          <s:t>Ndrysho fotografi/tekst/kanal pas miratimit; versioni i vjetër mbetet identik dhe approval i vjetër nuk autorizon versionin e ri; provo konkurencën.</s:t>
        </s:is>
      </s:c>
      <s:c r="I8" s="34" t="inlineStr">
        <s:is>
          <s:t>Struktura dhe guards u lexuan; stale-content checks kalojnë në suite, por nuk provojnë historik immutable të plotë.</s:t>
        </s:is>
      </s:c>
      <s:c r="J8" s="34" t="inlineStr">
        <s:is>
          <s:t>Resolved locally</s:t>
        </s:is>
      </s:c>
      <s:c r="K8" s="34" t="inlineStr">
        <s:is>
          <s:t>Full immutable snapshots and version-bound validation/approval/attempt records with tenant FKs pass DB tests.</s:t>
        </s:is>
      </s:c>
    </s:row>
    <s:row r="9" ht="155.1" customHeight="1" s="48">
      <s:c r="A9" s="35" t="inlineStr">
        <s:is>
          <s:t>DA-08</s:t>
        </s:is>
      </s:c>
      <s:c r="B9" s="35" t="inlineStr">
        <s:is>
          <s:t>P1</s:t>
        </s:is>
      </s:c>
      <s:c r="C9" s="35" t="inlineStr">
        <s:is>
          <s:t>Workflow CI nuk përgatit varësitë e backend-it aktual</s:t>
        </s:is>
      </s:c>
      <s:c r="D9" s="35" t="inlineStr">
        <s:is>
          <s:t>S0-A09, S0-B07, S0-B08, S4-B08, S8-B01</s:t>
        </s:is>
      </s:c>
      <s:c r="E9" s="35" t="inlineStr">
        <s:is>
          <s:t>.github/workflows/frontend.yml:18
apps/web/tests/integration/server.test.ts
apps/web/playwright.config.ts:29</s:t>
        </s:is>
      </s:c>
      <s:c r="F9" s="35" t="inlineStr">
        <s:is>
          <s:t>CI thërret integration/E2E pa provisionim PostgreSQL, SMTP, konfigurim testues dhe migrime. E2E me TEST_BASE_URL përdor preview; kjo nuk i siguron shërbimet. Kalimi lokal nuk provon required checks hosted.</s:t>
        </s:is>
      </s:c>
      <s:c r="G9" s="35" t="inlineStr">
        <s:is>
          <s:t>Përgatit services dhe kredenciale vetëm testuese, zbato migrimet, bëj cleanup të fixture-ve dhe verifiko një run hosted e një PR që dështon me qëllim.</s:t>
        </s:is>
      </s:c>
      <s:c r="H9" s="35" t="inlineStr">
        <s:is>
          <s:t>CI nga checkout i pastër kalon testet me DB; heqja e një guard-i e bllokon merge-in. Arkivo raportet pa sekrete.</s:t>
        </s:is>
      </s:c>
      <s:c r="I9" s="35" t="inlineStr">
        <s:is>
          <s:t>Workflow u lexua; nuk u ekzekutua hosted CI. Workspace nuk përmban .git.</s:t>
        </s:is>
      </s:c>
      <s:c r="J9" s="35" t="inlineStr">
        <s:is>
          <s:t>Partially addressed</s:t>
        </s:is>
      </s:c>
      <s:c r="K9" s="35" t="inlineStr">
        <s:is>
          <s:t>CI now provisions PostgreSQL/env/migrations/readiness; hosted required-check proof remains.</s:t>
        </s:is>
      </s:c>
    </s:row>
    <s:row r="10" ht="155.1" customHeight="1" s="48">
      <s:c r="A10" s="34" t="inlineStr">
        <s:is>
          <s:t>DA-09</s:t>
        </s:is>
      </s:c>
      <s:c r="B10" s="34" t="inlineStr">
        <s:is>
          <s:t>P2</s:t>
        </s:is>
      </s:c>
      <s:c r="C10" s="34" t="inlineStr">
        <s:is>
          <s:t>Pagination-i i workspace-it është vetëm në klient</s:t>
        </s:is>
      </s:c>
      <s:c r="D10" s="34" t="inlineStr">
        <s:is>
          <s:t>S2-B01, S3-B01, S5-A09, S6-B13, S8-B10</s:t>
        </s:is>
      </s:c>
      <s:c r="E10" s="34" t="inlineStr">
        <s:is>
          <s:t>apps/web/app/composables/usePagination.ts:12
apps/web/app/composables/useWorkspace.ts:27
apps/web/app/composables/useWorkspace.ts:54
apps/web/app/layouts/dashboard.vue:102</s:t>
        </s:is>
      </s:c>
      <s:c r="F10" s="34" t="inlineStr">
        <s:is>
          <s:t>Listat e postimeve/galerisë dhe kërkimi global ngarkojnë workspace-in e plotë; ruajtjet dërgojnë snapshot të plotë. Importet Meta kanë query pagination të veçantë. Prova me 13 postime kalon, por nuk është provë ngarkese.</s:t>
        </s:is>
      </s:c>
      <s:c r="G10" s="34" t="inlineStr">
        <s:is>
          <s:t>Shto API të kufizuara për lista/kërkim dhe commands të veçanta për mutacione, me revision/idempotency dhe thumbnails sipas nevojës.</s:t>
        </s:is>
      </s:c>
      <s:c r="H10" s="34" t="inlineStr">
        <s:is>
          <s:t>Fixture 500+ asset dhe 1000 postime: mat bytes/p95/memorien; filtër/cursor nuk kalon tenant-in dhe ndryshimi i një postimi nuk rishkruan gjithë listën.</s:t>
        </s:is>
      </s:c>
      <s:c r="I10" s="34" t="inlineStr">
        <s:is>
          <s:t>Pagination desktop/mobile kaloi në rerun; shkallëzimi nuk u mat.</s:t>
        </s:is>
      </s:c>
      <s:c r="J10" s="34" t="inlineStr">
        <s:is>
          <s:t>Open</s:t>
        </s:is>
      </s:c>
      <s:c r="K10" s="34" t="inlineStr">
        <s:is>
          <s:t>Server-side list/command APIs and load evidence remain.</s:t>
        </s:is>
      </s:c>
    </s:row>
    <s:row r="11" ht="155.1" customHeight="1" s="48">
      <s:c r="A11" s="35" t="inlineStr">
        <s:is>
          <s:t>DA-10</s:t>
        </s:is>
      </s:c>
      <s:c r="B11" s="35" t="inlineStr">
        <s:is>
          <s:t>P1</s:t>
        </s:is>
      </s:c>
      <s:c r="C11" s="35" t="inlineStr">
        <s:is>
          <s:t>Eksporti JSON nuk është arkiv i rikthyeshëm i biznesit</s:t>
        </s:is>
      </s:c>
      <s:c r="D11" s="35" t="inlineStr">
        <s:is>
          <s:t>S6-A04, S7-B07, S8-A10</s:t>
        </s:is>
      </s:c>
      <s:c r="E11" s="35" t="inlineStr">
        <s:is>
          <s:t>apps/web/app/composables/useWorkspace.ts:124
apps/web/server/api/media/[id].get.ts</s:t>
        </s:is>
      </s:c>
      <s:c r="F11" s="35" t="inlineStr">
        <s:is>
          <s:t>Eksporti përmban workspace dhe drafts të skedës; fotografitë referohen me URL private dhe nuk futen si bytes. Importet sociale/audit/identity dhe manifest/checksums nuk janë pjesë e këtij eksporti.</s:t>
        </s:is>
      </s:c>
      <s:c r="G11" s="35" t="inlineStr">
        <s:is>
          <s:t>Përcakto kontratën e eksportit; krijo server job me manifest dhe media të autorizuara, expiry/recent-auth dhe përfshirje të dokumentuar të të dhënave.</s:t>
        </s:is>
      </s:c>
      <s:c r="H11" s="35" t="inlineStr">
        <s:is>
          <s:t>Eksport me fotografi/import/history; kontrollo manifest/checksum dhe qasjen/expiry nga llogari tjetër. Mos e paraqit JSON-in aktual si backup të plotë.</s:t>
        </s:is>
      </s:c>
      <s:c r="I11" s="35" t="inlineStr">
        <s:is>
          <s:t>Përmbajtja e funksionit exportData u lexua; nuk është provuar eksport i plotë serveri.</s:t>
        </s:is>
      </s:c>
      <s:c r="J11" s="35" t="inlineStr">
        <s:is>
          <s:t>Open</s:t>
        </s:is>
      </s:c>
      <s:c r="K11" s="35" t="inlineStr">
        <s:is>
          <s:t>Restorable server export with media/manifest remains.</s:t>
        </s:is>
      </s:c>
    </s:row>
    <s:row r="12" ht="155.1" customHeight="1" s="48">
      <s:c r="A12" s="34" t="inlineStr">
        <s:is>
          <s:t>DA-11</s:t>
        </s:is>
      </s:c>
      <s:c r="B12" s="34" t="inlineStr">
        <s:is>
          <s:t>P1</s:t>
        </s:is>
      </s:c>
      <s:c r="C12" s="34" t="inlineStr">
        <s:is>
          <s:t>Retention dhe tërheqja e të drejtave kanë lifecycle të paplotë</s:t>
        </s:is>
      </s:c>
      <s:c r="D12" s="34" t="inlineStr">
        <s:is>
          <s:t>S7-A05, S6-A05, S2-B03, S8-A10</s:t>
        </s:is>
      </s:c>
      <s:c r="E12" s="34" t="inlineStr">
        <s:is>
          <s:t>apps/web/server/utils/trials.ts:30
apps/web/database/migrations/0004_trials_and_social.sql
apps/web/server/api/workspaces/[id].put.ts
apps/web/app/pages/app/[org]/[brand]/gallery.vue:298</s:t>
        </s:is>
      </s:c>
      <s:c r="F12" s="34" t="inlineStr">
        <s:is>
          <s:t>Cookie ka afat fiks 365 ditë; mungon purge për trial claims dhe të dhëna të tjera. Asset-et në përdorim nuk mund të hiqen dhe një rights=false refuzohet për referenca ekzistuese; UI e galerisë nuk ofron tërheqje të drejtash.</s:t>
        </s:is>
      </s:c>
      <s:c r="G12" s="34" t="inlineStr">
        <s:is>
          <s:t>Përcakto retention/consent policy, zbato afatet me jobs dhe rrugën e tërheqjes së të drejtave që ndalon përdorimin e ardhshëm pa falsifikuar historikun.</s:t>
        </s:is>
      </s:c>
      <s:c r="H12" s="34" t="inlineStr">
        <s:is>
          <s:t>Revoko të drejtat e asset-it në postim të planifikuar, verifiko bllokimin e publikimit; provo purge/resume dhe përjashtimet e dokumentuara të ruajtjes.</s:t>
        </s:is>
      </s:c>
      <s:c r="I12" s="34" t="inlineStr">
        <s:is>
          <s:t>Gjetje statike; nuk pretendohet se API lejon revokim dhe pastaj publikim me validation të vjetër. Aktualisht vetë ndryshimi refuzohet.</s:t>
        </s:is>
      </s:c>
      <s:c r="J12" s="34" t="inlineStr">
        <s:is>
          <s:t>Partially addressed</s:t>
        </s:is>
      </s:c>
      <s:c r="K12" s="34" t="inlineStr">
        <s:is>
          <s:t>Versioned retention batch and enforceable rights withdrawal exist; purge/deletion callbacks and legal approval remain.</s:t>
        </s:is>
      </s:c>
    </s:row>
    <s:row r="13" ht="155.1" customHeight="1" s="48">
      <s:c r="A13" s="35" t="inlineStr">
        <s:is>
          <s:t>DA-12</s:t>
        </s:is>
      </s:c>
      <s:c r="B13" s="35" t="inlineStr">
        <s:is>
          <s:t>P1</s:t>
        </s:is>
      </s:c>
      <s:c r="C13" s="35" t="inlineStr">
        <s:is>
          <s:t>Numëruesi AI nuk përmbush ledger-in e kostove</s:t>
        </s:is>
      </s:c>
      <s:c r="D13" s="35" t="inlineStr">
        <s:is>
          <s:t>S5-A07, S6-A13, S8-A12, S7-A09</s:t>
        </s:is>
      </s:c>
      <s:c r="E13" s="35" t="inlineStr">
        <s:is>
          <s:t>apps/web/server/api/ai/captions.post.ts
apps/web/database/migrations/0006_ai_usage.sql</s:t>
        </s:is>
      </s:c>
      <s:c r="F13" s="35" t="inlineStr">
        <s:is>
          <s:t>Kërkesat kanë UUID dhe limit ditor, por mungojnë estimate/reserve/commit/release për kosto reale, usage tokens/images, refund policy dhe anomaly breaker. Dështimi pas rezervimit konsumon numëruesin e kërkesave.</s:t>
        </s:is>
      </s:c>
      <s:c r="G13" s="35" t="inlineStr">
        <s:is>
          <s:t>Ndaj rate limit nga kreditë monetare; ruaj usage dhe gjendjen e rezervimit me concurrency guards dhe politikë të qartë për dështimet.</s:t>
        </s:is>
      </s:c>
      <s:c r="H13" s="35" t="inlineStr">
        <s:is>
          <s:t>Kërkesa paralele, provider timeout/error/duplicate, release vetëm një herë dhe ndalim para tejkalimit të buxhetit; replay i kostove për secilin plan.</s:t>
        </s:is>
      </s:c>
      <s:c r="I13" s="35" t="inlineStr">
        <s:is>
          <s:t>Kodi i endpoint-it u lexua; OpenAI live dhe cost workload replay nuk u ekzekutuan.</s:t>
        </s:is>
      </s:c>
      <s:c r="J13" s="35" t="inlineStr">
        <s:is>
          <s:t>Partially addressed</s:t>
        </s:is>
      </s:c>
      <s:c r="K13" s="35" t="inlineStr">
        <s:is>
          <s:t>AI reserve/commit/release cost ledger and hard configured budget exist; live concurrency/replay and anomaly operations remain.</s:t>
        </s:is>
      </s:c>
    </s:row>
    <s:row r="14" ht="155.1" customHeight="1" s="48">
      <s:c r="A14" s="34" t="inlineStr">
        <s:is>
          <s:t>DA-13</s:t>
        </s:is>
      </s:c>
      <s:c r="B14" s="34" t="inlineStr">
        <s:is>
          <s:t>P2</s:t>
        </s:is>
      </s:c>
      <s:c r="C14" s="34" t="inlineStr">
        <s:is>
          <s:t>Dokumentet dhe disa tekste nuk ndjekin sjelljen aktuale</s:t>
        </s:is>
      </s:c>
      <s:c r="D14" s="34" t="inlineStr">
        <s:is>
          <s:t>S0-A01, S6-B06, S8-B13, S5-B07, S8-A10</s:t>
        </s:is>
      </s:c>
      <s:c r="E14" s="34" t="inlineStr">
        <s:is>
          <s:t>README.md
docs/VALIDATION.md
docs/adr/ADR-001-frontend-demo.md
apps/web/app/pages/help.vue:9
apps/web/app/pages/pricing.vue:43
apps/web/app/pages/app/[org]/[brand]/settings.vue:170
apps/web/app/components/CopilotPanel.vue:12</s:t>
        </s:is>
      </s:c>
      <s:c r="F14" s="34" t="inlineStr">
        <s:is>
          <s:t>Dokumentet e demonstrimit nuk përfaqësojnë backend-in real. Help/pricing/settings përmendin verifikim emaili pa kusht; konfigurimi lokal e anashkalon. Copilot e rendit Meta si hap 2 pa shënimin opsional. Galeria ende ka fallback tekstual Unsplash.</s:t>
        </s:is>
      </s:c>
      <s:c r="G14" s="34" t="inlineStr">
        <s:is>
          <s:t>Përditëso ADR/README/validation dhe copy sipas capabilities, Meta opsionale dhe scope-it posts-only. Raporti BACKLOG-REVIEW-SQ është përditësuar nga ky audit; kjo nuk zëvendëson dokumentet e tjera.</s:t>
        </s:is>
      </s:c>
      <s:c r="H14" s="34" t="inlineStr">
        <s:is>
          <s:t>Content review në local bypass dhe public verification, pa përshkrime të shërbimeve të paaktivizuara si aktive; operatori pranon versionin publik.</s:t>
        </s:is>
      </s:c>
      <s:c r="I14" s="34" t="inlineStr">
        <s:is>
          <s:t>Dokumentet dhe komponentët u krahasuan me konfigurimin/testet e tanishme.</s:t>
        </s:is>
      </s:c>
      <s:c r="J14" s="34" t="inlineStr">
        <s:is>
          <s:t>Resolved locally</s:t>
        </s:is>
      </s:c>
      <s:c r="K14" s="34" t="inlineStr">
        <s:is>
          <s:t>ADR/README/status/handoff/validation and capability-aware UI copy updated; public content sign-off remains.</s:t>
        </s:is>
      </s:c>
    </s:row>
    <s:row r="15" ht="155.1" customHeight="1" s="48">
      <s:c r="A15" s="35" t="inlineStr">
        <s:is>
          <s:t>DA-14</s:t>
        </s:is>
      </s:c>
      <s:c r="B15" s="35" t="inlineStr">
        <s:is>
          <s:t>P1</s:t>
        </s:is>
      </s:c>
      <s:c r="C15" s="35" t="inlineStr">
        <s:is>
          <s:t>Mungon prova e worker-it me efekt të jashtëm</s:t>
        </s:is>
      </s:c>
      <s:c r="D15" s="35" t="inlineStr">
        <s:is>
          <s:t>S4-A04, S4-A07, S4-A09, S8-A11, S8-A03</s:t>
        </s:is>
      </s:c>
      <s:c r="E15" s="35" t="inlineStr">
        <s:is>
          <s:t>apps/web/server/utils/publishing.ts
apps/web/tests/integration/server.test.ts
apps/web/tests/e2e/optional-meta.spec.ts</s:t>
        </s:is>
      </s:c>
      <s:c r="F15" s="35" t="inlineStr">
        <s:is>
          <s:t>Suite provon guards, encryption, scope dhe radhitje, por nuk ekzekuton ciklin e publikimit me fault fixtures të Meta-s. Meta App/HTTPS/worker live nuk janë verifikuar; testet nuk provojnë publikim real exactly-once.</s:t>
        </s:is>
      </s:c>
      <s:c r="G15" s="35" t="inlineStr">
        <s:is>
          <s:t>Shto provider fixtures që ekzekutojnë worker-in; pastaj provo llogari testuese të autorizuara në staging me target/photo real dhe verifikim të rezultatit.</s:t>
        </s:is>
      </s:c>
      <s:c r="H15" s="35" t="inlineStr">
        <s:is>
          <s:t>Facebook dhe Instagram: sukses, 429, 5xx, crash, expired token, cancel, timeout-after-write dhe dy worker-a; arkivo provider IDs pa tokenë.</s:t>
        </s:is>
      </s:c>
      <s:c r="I15" s="35" t="inlineStr">
        <s:is>
          <s:t>33 unit/integration dhe 8 E2E kaluan lokalisht; asnjë publikim real nuk u krye në audit.</s:t>
        </s:is>
      </s:c>
      <s:c r="J15" s="35" t="inlineStr">
        <s:is>
          <s:t>Resolved locally</s:t>
        </s:is>
      </s:c>
      <s:c r="K15" s="35" t="inlineStr">
        <s:is>
          <s:t>Provider fixture executes two workers, one write and timeout-after-write reconciliation; staging publish remains a release gate.</s:t>
        </s:is>
      </s:c>
    </s:row>
    <s:row r="16" ht="155.1" customHeight="1" s="48">
      <s:c r="A16" s="34" t="inlineStr">
        <s:is>
          <s:t>DA-15</s:t>
        </s:is>
      </s:c>
      <s:c r="B16" s="34" t="inlineStr">
        <s:is>
          <s:t>P1</s:t>
        </s:is>
      </s:c>
      <s:c r="C16" s="34" t="inlineStr">
        <s:is>
          <s:t>Katalogu i planeve nuk është kontratë e plotë entitlement/limits</s:t>
        </s:is>
      </s:c>
      <s:c r="D16" s="34" t="inlineStr">
        <s:is>
          <s:t>S1-A07, S5-A06, S5-B03, S5-B05, S5-B06, S7-A04</s:t>
        </s:is>
      </s:c>
      <s:c r="E16" s="34" t="inlineStr">
        <s:is>
          <s:t>apps/web/server/utils/trials.ts:36
apps/web/server/api/plans.get.ts
apps/web/database/migrations/0002_businesses.sql</s:t>
        </s:is>
      </s:c>
      <s:c r="F16" s="34" t="inlineStr">
        <s:is>
          <s:t>Çmimet EUR vijnë nga DB, por feature arrays nuk kanë schema të plotë me enum/limit/version dhe kuotat e reklamuara nuk lidhen me enforcement të planit. Entitlements aktive nuk janë subscription lifecycle me provider.</s:t>
        </s:is>
      </s:c>
      <s:c r="G16" s="34" t="inlineStr">
        <s:is>
          <s:t>Unifiko katalogun dhe kontratën e tipizuar të limiteve; lidhi me enforcement dhe usage snapshot, pastaj konfirmo çmimet komerciale dhe checkout.</s:t>
        </s:is>
      </s:c>
      <s:c r="H16" s="34" t="inlineStr">
        <s:is>
          <s:t>Për çdo plan/version provo features/limits të shfaqura kundrejt serverit, konfigurim të pavlefshëm, downgrade dhe expiry; pagesat kërkojnë sandbox më vete.</s:t>
        </s:is>
      </s:c>
      <s:c r="I16" s="34" t="inlineStr">
        <s:is>
          <s:t>DB catalog dhe trial expiry testohen; pagesat/faturat/abonimet nuk janë aktive.</s:t>
        </s:is>
      </s:c>
      <s:c r="J16" s="34" t="inlineStr">
        <s:is>
          <s:t>Partially addressed</s:t>
        </s:is>
      </s:c>
      <s:c r="K16" s="34" t="inlineStr">
        <s:is>
          <s:t>Typed versioned catalog, limits, enforcement and usage snapshot exist; subscription lifecycle/checkout and commercial approval remain.</s:t>
        </s:is>
      </s:c>
    </s:row>
    <s:row r="17" ht="155.1" customHeight="1" s="48">
      <s:c r="A17" s="35" t="inlineStr">
        <s:is>
          <s:t>DA-16</s:t>
        </s:is>
      </s:c>
      <s:c r="B17" s="35" t="inlineStr">
        <s:is>
          <s:t>P2</s:t>
        </s:is>
      </s:c>
      <s:c r="C17" s="35" t="inlineStr">
        <s:is>
          <s:t>Parapamja shfaq crop katror që nuk eksportohet</s:t>
        </s:is>
      </s:c>
      <s:c r="D17" s="35" t="inlineStr">
        <s:is>
          <s:t>S3-B02, S2-B03, S7-A03, S3-B07</s:t>
        </s:is>
      </s:c>
      <s:c r="E17" s="35" t="inlineStr">
        <s:is>
          <s:t>apps/web/app/components/ChannelPreview.vue:35
apps/web/app/components/MediaImage.vue:29
apps/web/server/utils/publishing.ts</s:t>
        </s:is>
      </s:c>
      <s:c r="F17" s="35" t="inlineStr">
        <s:is>
          <s:t>Fotografia në preview shfaqet aspect-square/object-cover. Publikimi përdor asset-in origjinal të sanitizuar, pa crop të ruajtur nga kjo parapamje. Pamja mund të ndryshojë për foto drejtkëndore.</s:t>
        </s:is>
      </s:c>
      <s:c r="G17" s="35" t="inlineStr">
        <s:is>
          <s:t>Pasqyro raportin real të asset-it ose ruaj crop të qartë si variant që përdoret edhe në publikim; registry i formatit duhet të jetë burim i përbashkët.</s:t>
        </s:is>
      </s:c>
      <s:c r="H17" s="35" t="inlineStr">
        <s:is>
          <s:t>Foto katrore/portrait/landscape në të dy kanalet: krahaso preview me dimensionet e asset-it të dërguar; golden render për composer kur zbatohet.</s:t>
        </s:is>
      </s:c>
      <s:c r="I17" s="35" t="inlineStr">
        <s:is>
          <s:t>Gjetje vizuale nga CSS/rruga e medias; nuk është krahasim me një postim live në Meta.</s:t>
        </s:is>
      </s:c>
      <s:c r="J17" s="35" t="inlineStr">
        <s:is>
          <s:t>Resolved locally</s:t>
        </s:is>
      </s:c>
      <s:c r="K17" s="35" t="inlineStr">
        <s:is>
          <s:t>Preview preserves the real media ratio and validation/preview share one channel-format registry; real-provider visual proof remains a task gate.</s:t>
        </s:is>
      </s:c>
    </s:row>
    <s:row r="18" ht="155.1" customHeight="1" s="48">
      <s:c r="A18" s="34" t="inlineStr">
        <s:is>
          <s:t>DA-17</s:t>
        </s:is>
      </s:c>
      <s:c r="B18" s="34" t="inlineStr">
        <s:is>
          <s:t>P2</s:t>
        </s:is>
      </s:c>
      <s:c r="C18" s="34" t="inlineStr">
        <s:is>
          <s:t>Testi i pagination-it kërkonte një numër të fshehur nga konfigurimi</s:t>
        </s:is>
      </s:c>
      <s:c r="D18" s="34" t="inlineStr">
        <s:is>
          <s:t>S0-B08, S3-B01, S4-B08</s:t>
        </s:is>
      </s:c>
      <s:c r="E18" s="34" t="inlineStr">
        <s:is>
          <s:t>apps/web/tests/e2e/live.spec.ts:161
apps/web/app/components/ListPagination.vue:24</s:t>
        </s:is>
      </s:c>
      <s:c r="F18" s="34" t="inlineStr">
        <s:is>
          <s:t>sibling-count=0/show-edges=false shfaq vetëm numrin aktual; testi kërkonte butonin 2. Selektori u ndryshua te Next Page pa hequr assertion-in 11–13 nga 13.</s:t>
        </s:is>
      </s:c>
      <s:c r="G18" s="34" t="inlineStr">
        <s:is>
          <s:t>Gjetja e testit është korrigjuar. Mbetet lokalizimi i emrave aksesues Next Page/Page 2 dhe prova hosted CI e task-eve përkatëse.</s:t>
        </s:is>
      </s:c>
      <s:c r="H18" s="34" t="inlineStr">
        <s:is>
          <s:t>Rerun live.spec.ts: 4/4 desktop/mobile, përfshirë pagination dhe axe në 7 faqe dashboard-i.</s:t>
        </s:is>
      </s:c>
      <s:c r="I18" s="34" t="inlineStr">
        <s:is>
          <s:t>E riprodhuar dhe e korrigjuar; hq-deep-audit-live-e2e.log (2 dështime) dhe hq-deep-audit-live-e2e-rerun.log (4 kalime).</s:t>
        </s:is>
      </s:c>
      <s:c r="J18" s="34" t="inlineStr">
        <s:is>
          <s:t>Resolved locally</s:t>
        </s:is>
      </s:c>
      <s:c r="K18" s="34" t="inlineStr">
        <s:is>
          <s:t>Pagination locator fixed and combined E2E passes 8/8; hosted CI/localized primitive labels remain.</s:t>
        </s:is>
      </s:c>
    </s:row>
  </s:sheetData>
  <s:autoFilter ref="A1:K18"/>
  <s:pageMargins left="0.75" right="0.75" top="1" bottom="1" header="0.5" footer="0.5"/>
</s:worksheet>
</file>

<file path=xl/worksheets/sheet17.xml><?xml version="1.0" encoding="utf-8"?>
<s:worksheet xmlns:s="http://schemas.openxmlformats.org/spreadsheetml/2006/main">
  <s:sheetPr>
    <s:outlinePr summaryBelow="1" summaryRight="1"/>
    <s:pageSetUpPr/>
  </s:sheetPr>
  <s:dimension ref="A1:K151"/>
  <s:sheetViews>
    <s:sheetView workbookViewId="0">
      <s:pane ySplit="1" topLeftCell="A2" activePane="bottomLeft" state="frozen"/>
      <s:selection pane="bottomLeft" activeCell="A1" sqref="A1"/>
    </s:sheetView>
  </s:sheetViews>
  <s:sheetFormatPr baseColWidth="8" defaultRowHeight="15"/>
  <s:cols>
    <s:col width="14" customWidth="1" style="48" min="1" max="1"/>
    <s:col width="9" customWidth="1" style="48" min="2" max="2"/>
    <s:col width="10" customWidth="1" style="48" min="3" max="3"/>
    <s:col width="16" customWidth="1" style="48" min="4" max="4"/>
    <s:col width="32" customWidth="1" style="48" min="5" max="5"/>
    <s:col width="18" customWidth="1" style="48" min="6" max="7"/>
    <s:col width="42" customWidth="1" style="48" min="8" max="8"/>
    <s:col width="78" customWidth="1" style="48" min="9" max="9"/>
    <s:col width="18" customWidth="1" style="48" min="10" max="10"/>
    <s:col width="72" customWidth="1" style="48" min="11" max="11"/>
  </s:cols>
  <s:sheetData>
    <s:row r="1">
      <s:c r="A1" s="11" t="inlineStr">
        <s:is>
          <s:t>Task ID</s:t>
        </s:is>
      </s:c>
      <s:c r="B1" s="11" t="inlineStr">
        <s:is>
          <s:t>Sprint</s:t>
        </s:is>
      </s:c>
      <s:c r="C1" s="11" t="inlineStr">
        <s:is>
          <s:t>Priority</s:t>
        </s:is>
      </s:c>
      <s:c r="D1" s="11" t="inlineStr">
        <s:is>
          <s:t>Status formal</s:t>
        </s:is>
      </s:c>
      <s:c r="E1" s="11" t="inlineStr">
        <s:is>
          <s:t>Gjendja e kodit</s:t>
        </s:is>
      </s:c>
      <s:c r="F1" s="11" t="inlineStr">
        <s:is>
          <s:t>Owner</s:t>
        </s:is>
      </s:c>
      <s:c r="G1" s="11" t="inlineStr">
        <s:is>
          <s:t>Reviewer</s:t>
        </s:is>
      </s:c>
      <s:c r="H1" s="11" t="inlineStr">
        <s:is>
          <s:t>Task</s:t>
        </s:is>
      </s:c>
      <s:c r="I1" s="11" t="inlineStr">
        <s:is>
          <s:t>Hapi i ardhshëm</s:t>
        </s:is>
      </s:c>
      <s:c r="J1" s="11" t="inlineStr">
        <s:is>
          <s:t>Release gate</s:t>
        </s:is>
      </s:c>
      <s:c r="K1" s="11" t="inlineStr">
        <s:is>
          <s:t>Prova e kërkuar</s:t>
        </s:is>
      </s:c>
    </s:row>
    <s:row r="2" ht="72" customHeight="1" s="48">
      <s:c r="A2" s="42" t="inlineStr">
        <s:is>
          <s:t>S0-A01</s:t>
        </s:is>
      </s:c>
      <s:c r="B2" s="42" t="inlineStr">
        <s:is>
          <s:t>S0</s:t>
        </s:is>
      </s:c>
      <s:c r="C2" s="42" t="inlineStr">
        <s:is>
          <s:t>P0</s:t>
        </s:is>
      </s:c>
      <s:c r="D2" s="42" t="inlineStr">
        <s:is>
          <s:t>In Review</s:t>
        </s:is>
      </s:c>
      <s:c r="E2" s="42" t="inlineStr">
        <s:is>
          <s:t>Kryer në kod — pret pranim/gate</s:t>
        </s:is>
      </s:c>
      <s:c r="F2" s="42" t="inlineStr">
        <s:is>
          <s:t>Programmer A</s:t>
        </s:is>
      </s:c>
      <s:c r="G2" s="42" t="inlineStr">
        <s:is>
          <s:t>Programmer B</s:t>
        </s:is>
      </s:c>
      <s:c r="H2" s="42" t="inlineStr">
        <s:is>
          <s:t>Record ADR-001 modular monolith baseline</s:t>
        </s:is>
      </s:c>
      <s:c r="I2" s="42" t="inlineStr">
        <s:is>
          <s:t>Mbeten architecture review checklist, prova e deployment-it të ndarë dhe RG-01. Follow-up-et RLS/runtime-role/observability të ADR-002 nuk janë gates të kaluara.</s:t>
        </s:is>
      </s:c>
      <s:c r="J2" s="42" t="inlineStr">
        <s:is>
          <s:t>RG-01</s:t>
        </s:is>
      </s:c>
      <s:c r="K2" s="42" t="inlineStr">
        <s:is>
          <s:t>Prova e kërkuar nga backlog-u: Architecture review checklist
Kriteri për t'u verifikuar (nuk deklarohet i kaluar): ADR accepted; no unresolved architecture blocker; repo links ADR from README.
DA-13: Content review në local bypass dhe public verification, pa përshkrime të shërbimeve të paaktivizuara si aktive; operatori pranon versionin publik.
Pranimi kërkon edhe gate-et: RG-01. Asnjë gate nuk është shënuar Passed nga ky audit.</s:t>
        </s:is>
      </s:c>
    </s:row>
    <s:row r="3" ht="72" customHeight="1" s="48">
      <s:c r="A3" s="42" t="inlineStr">
        <s:is>
          <s:t>S0-A02</s:t>
        </s:is>
      </s:c>
      <s:c r="B3" s="42" t="inlineStr">
        <s:is>
          <s:t>S0</s:t>
        </s:is>
      </s:c>
      <s:c r="C3" s="42" t="inlineStr">
        <s:is>
          <s:t>P0</s:t>
        </s:is>
      </s:c>
      <s:c r="D3" s="42" t="inlineStr">
        <s:is>
          <s:t>In Review</s:t>
        </s:is>
      </s:c>
      <s:c r="E3" s="42" t="inlineStr">
        <s:is>
          <s:t>Kryer në kod — pret pranim/gate</s:t>
        </s:is>
      </s:c>
      <s:c r="F3" s="42" t="inlineStr">
        <s:is>
          <s:t>Programmer A</s:t>
        </s:is>
      </s:c>
      <s:c r="G3" s="42" t="inlineStr">
        <s:is>
          <s:t>Programmer B</s:t>
        </s:is>
      </s:c>
      <s:c r="H3" s="42" t="inlineStr">
        <s:is>
          <s:t>Bootstrap backend/worker packages</s:t>
        </s:is>
      </s:c>
      <s:c r="I3" s="42" t="inlineStr">
        <s:is>
          <s:t>Duhet container/process smoke me publisher të aktivizuar, deployment i veçantë i worker-it dhe RG-01; Meta App mungon për një start real publishing.</s:t>
        </s:is>
      </s:c>
      <s:c r="J3" s="42" t="inlineStr">
        <s:is>
          <s:t>RG-01</s:t>
        </s:is>
      </s:c>
      <s:c r="K3" s="42" t="inlineStr">
        <s:is>
          <s:t>Prova e kërkuar nga backlog-u: pytest smoke + container smoke
Kriteri për t'u verifikuar (nuk deklarohet i kaluar): API/worker start locally; module import rule documented; /health/live returns 200.
Pranimi kërkon edhe gate-et: RG-01. Asnjë gate nuk është shënuar Passed nga ky audit.</s:t>
        </s:is>
      </s:c>
    </s:row>
    <s:row r="4" ht="72" customHeight="1" s="48">
      <s:c r="A4" s="42" t="inlineStr">
        <s:is>
          <s:t>S0-A04</s:t>
        </s:is>
      </s:c>
      <s:c r="B4" s="42" t="inlineStr">
        <s:is>
          <s:t>S0</s:t>
        </s:is>
      </s:c>
      <s:c r="C4" s="42" t="inlineStr">
        <s:is>
          <s:t>P0</s:t>
        </s:is>
      </s:c>
      <s:c r="D4" s="42" t="inlineStr">
        <s:is>
          <s:t>In Review</s:t>
        </s:is>
      </s:c>
      <s:c r="E4" s="42" t="inlineStr">
        <s:is>
          <s:t>Kryer në kod — pret pranim/gate</s:t>
        </s:is>
      </s:c>
      <s:c r="F4" s="42" t="inlineStr">
        <s:is>
          <s:t>Programmer A</s:t>
        </s:is>
      </s:c>
      <s:c r="G4" s="42" t="inlineStr">
        <s:is>
          <s:t>Programmer B</s:t>
        </s:is>
      </s:c>
      <s:c r="H4" s="42" t="inlineStr">
        <s:is>
          <s:t>Bootstrap PostgreSQL environments and migrations</s:t>
        </s:is>
      </s:c>
      <s:c r="I4" s="42" t="inlineStr">
        <s:is>
          <s:t>Ekzekuto migration dry-run në staging me role të ndara dhe regjistro RG-01; kjo kërkon mjedisin e hostuar.</s:t>
        </s:is>
      </s:c>
      <s:c r="J4" s="42" t="inlineStr">
        <s:is>
          <s:t>RG-01</s:t>
        </s:is>
      </s:c>
      <s:c r="K4" s="42" t="inlineStr">
        <s:is>
          <s:t>Prova e kërkuar: empty-database migration smoke, runtime DDL-deny, staging dry-run dhe RG-01.</s:t>
        </s:is>
      </s:c>
    </s:row>
    <s:row r="5" ht="72" customHeight="1" s="48">
      <s:c r="A5" s="42" t="inlineStr">
        <s:is>
          <s:t>S0-A07</s:t>
        </s:is>
      </s:c>
      <s:c r="B5" s="42" t="inlineStr">
        <s:is>
          <s:t>S0</s:t>
        </s:is>
      </s:c>
      <s:c r="C5" s="42" t="inlineStr">
        <s:is>
          <s:t>P0</s:t>
        </s:is>
      </s:c>
      <s:c r="D5" s="42" t="inlineStr">
        <s:is>
          <s:t>In Review</s:t>
        </s:is>
      </s:c>
      <s:c r="E5" s="42" t="inlineStr">
        <s:is>
          <s:t>Kryer në kod — pret pranim/gate</s:t>
        </s:is>
      </s:c>
      <s:c r="F5" s="42" t="inlineStr">
        <s:is>
          <s:t>Programmer A</s:t>
        </s:is>
      </s:c>
      <s:c r="G5" s="42" t="inlineStr">
        <s:is>
          <s:t>Programmer B</s:t>
        </s:is>
      </s:c>
      <s:c r="H5" s="42" t="inlineStr">
        <s:is>
          <s:t>Verify Better Auth sessions in Nitro</s:t>
        </s:is>
      </s:c>
      <s:c r="I5" s="42" t="inlineStr">
        <s:is>
          <s:t>Ekzekuto suite-n në hosted CI/public staging dhe regjistro security review/RG-03.</s:t>
        </s:is>
      </s:c>
      <s:c r="J5" s="42" t="inlineStr">
        <s:is>
          <s:t>RG-03</s:t>
        </s:is>
      </s:c>
      <s:c r="K5" s="42" t="inlineStr">
        <s:is>
          <s:t>Prova e kërkuar: valid/forged/revoked/expired session E2E, origin rejection dhe RG-03.</s:t>
        </s:is>
      </s:c>
    </s:row>
    <s:row r="6" ht="72" customHeight="1" s="48">
      <s:c r="A6" s="42" t="inlineStr">
        <s:is>
          <s:t>S0-A08</s:t>
        </s:is>
      </s:c>
      <s:c r="B6" s="42" t="inlineStr">
        <s:is>
          <s:t>S0</s:t>
        </s:is>
      </s:c>
      <s:c r="C6" s="42" t="inlineStr">
        <s:is>
          <s:t>P0</s:t>
        </s:is>
      </s:c>
      <s:c r="D6" s="42" t="inlineStr">
        <s:is>
          <s:t>In Review</s:t>
        </s:is>
      </s:c>
      <s:c r="E6" s="42" t="inlineStr">
        <s:is>
          <s:t>Kryer në kod — pret pranim/gate</s:t>
        </s:is>
      </s:c>
      <s:c r="F6" s="42" t="inlineStr">
        <s:is>
          <s:t>Programmer A</s:t>
        </s:is>
      </s:c>
      <s:c r="G6" s="42" t="inlineStr">
        <s:is>
          <s:t>Programmer B</s:t>
        </s:is>
      </s:c>
      <s:c r="H6" s="42" t="inlineStr">
        <s:is>
          <s:t>Create durable queue/outbox skeleton</s:t>
        </s:is>
      </s:c>
      <s:c r="I6" s="42" t="inlineStr">
        <s:is>
          <s:t>Ekzekuto hosted CI/container failure rehearsal dhe regjistro RG-01; adapterët me side-effect të jashtëm vazhdojnë të përdorin idempotency/reconciliation specifik.</s:t>
        </s:is>
      </s:c>
      <s:c r="J6" s="42" t="inlineStr">
        <s:is>
          <s:t>RG-01</s:t>
        </s:is>
      </s:c>
      <s:c r="K6" s="42" t="inlineStr">
        <s:is>
          <s:t>Prova e kërkuar: queue duplicate/crash/concurrency tests, container smoke dhe RG-01.</s:t>
        </s:is>
      </s:c>
    </s:row>
    <s:row r="7" ht="72" customHeight="1" s="48">
      <s:c r="A7" s="42" t="inlineStr">
        <s:is>
          <s:t>S0-B01</s:t>
        </s:is>
      </s:c>
      <s:c r="B7" s="42" t="inlineStr">
        <s:is>
          <s:t>S0</s:t>
        </s:is>
      </s:c>
      <s:c r="C7" s="42" t="inlineStr">
        <s:is>
          <s:t>P0</s:t>
        </s:is>
      </s:c>
      <s:c r="D7" s="42" t="inlineStr">
        <s:is>
          <s:t>In Review</s:t>
        </s:is>
      </s:c>
      <s:c r="E7" s="42" t="inlineStr">
        <s:is>
          <s:t>Kryer në kod — pret pranim/gate</s:t>
        </s:is>
      </s:c>
      <s:c r="F7" s="42" t="inlineStr">
        <s:is>
          <s:t>Programmer B</s:t>
        </s:is>
      </s:c>
      <s:c r="G7" s="42" t="inlineStr">
        <s:is>
          <s:t>Programmer A</s:t>
        </s:is>
      </s:c>
      <s:c r="H7" s="42" t="inlineStr">
        <s:is>
          <s:t>Bootstrap Nuxt 4 application</s:t>
        </s:is>
      </s:c>
      <s:c r="I7" s="42" t="inlineStr">
        <s:is>
          <s:t>Duhet npm ci + production build nga checkout i pastër me Node 24 dhe RG-01. Makina e këtij auditimi po përdor Node 26.5.0.</s:t>
        </s:is>
      </s:c>
      <s:c r="J7" s="42" t="inlineStr">
        <s:is>
          <s:t>RG-01</s:t>
        </s:is>
      </s:c>
      <s:c r="K7" s="42" t="inlineStr">
        <s:is>
          <s:t>Prova e kërkuar nga backlog-u: nuxt build + typecheck
Kriteri për t'u verifikuar (nuk deklarohet i kaluar): Clean install/build/typecheck passes from lockfile; Node 24 LTS documented; no secret runtime config exposed client-side.
Pranimi kërkon edhe gate-et: RG-01. Asnjë gate nuk është shënuar Passed nga ky audit.</s:t>
        </s:is>
      </s:c>
    </s:row>
    <s:row r="8" ht="72" customHeight="1" s="48">
      <s:c r="A8" s="42" t="inlineStr">
        <s:is>
          <s:t>S0-B03</s:t>
        </s:is>
      </s:c>
      <s:c r="B8" s="42" t="inlineStr">
        <s:is>
          <s:t>S0</s:t>
        </s:is>
      </s:c>
      <s:c r="C8" s="42" t="inlineStr">
        <s:is>
          <s:t>P0</s:t>
        </s:is>
      </s:c>
      <s:c r="D8" s="42" t="inlineStr">
        <s:is>
          <s:t>In Review</s:t>
        </s:is>
      </s:c>
      <s:c r="E8" s="42" t="inlineStr">
        <s:is>
          <s:t>Kryer në kod — pret pranim/gate</s:t>
        </s:is>
      </s:c>
      <s:c r="F8" s="42" t="inlineStr">
        <s:is>
          <s:t>Programmer B</s:t>
        </s:is>
      </s:c>
      <s:c r="G8" s="42" t="inlineStr">
        <s:is>
          <s:t>Programmer A</s:t>
        </s:is>
      </s:c>
      <s:c r="H8" s="42" t="inlineStr">
        <s:is>
          <s:t>Build authenticated application shell</s:t>
        </s:is>
      </s:c>
      <s:c r="I8" s="42" t="inlineStr">
        <s:is>
          <s:t>Për scope-in me një biznes për pronar, kodi është implementuar. Mbeten pranim i plotë keyboard/tablet/a11y dhe RG-14; multi-org switcher është jashtë rrjedhës aktuale.</s:t>
        </s:is>
      </s:c>
      <s:c r="J8" s="42" t="inlineStr">
        <s:is>
          <s:t>RG-14</s:t>
        </s:is>
      </s:c>
      <s:c r="K8" s="42" t="inlineStr">
        <s:is>
          <s:t>Prova e kërkuar nga backlog-u: component + Playwright shell smoke
Kriteri për t'u verifikuar (nuk deklarohet i kaluar): Desktop/tablet/mobile shell is keyboard accessible; navigation persists correctly; active org/brand context visible; no layout shift blocker.
Pranimi kërkon edhe gate-et: RG-14. Asnjë gate nuk është shënuar Passed nga ky audit.</s:t>
        </s:is>
      </s:c>
    </s:row>
    <s:row r="9" ht="72" customHeight="1" s="48">
      <s:c r="A9" s="42" t="inlineStr">
        <s:is>
          <s:t>S3-A07</s:t>
        </s:is>
      </s:c>
      <s:c r="B9" s="42" t="inlineStr">
        <s:is>
          <s:t>S3</s:t>
        </s:is>
      </s:c>
      <s:c r="C9" s="42" t="inlineStr">
        <s:is>
          <s:t>P0</s:t>
        </s:is>
      </s:c>
      <s:c r="D9" s="42" t="inlineStr">
        <s:is>
          <s:t>In Review</s:t>
        </s:is>
      </s:c>
      <s:c r="E9" s="42" t="inlineStr">
        <s:is>
          <s:t>Kryer në kod — pret pranim/gate</s:t>
        </s:is>
      </s:c>
      <s:c r="F9" s="42" t="inlineStr">
        <s:is>
          <s:t>Programmer A</s:t>
        </s:is>
      </s:c>
      <s:c r="G9" s="42" t="inlineStr">
        <s:is>
          <s:t>Programmer B</s:t>
        </s:is>
      </s:c>
      <s:c r="H9" s="42" t="inlineStr">
        <s:is>
          <s:t>Implement content items and immutable versions</s:t>
        </s:is>
      </s:c>
      <s:c r="I9" s="42" t="inlineStr">
        <s:is>
          <s:t>Mbeten concurrency test për dy writer-a në endpoint, verifikim i published-version me provider fixture dhe RG-06. Historia caption para 0009 nuk mund të rikonstruktohet si snapshot i plotë dhe shënohet legacy.</s:t>
        </s:is>
      </s:c>
      <s:c r="J9" s="42" t="inlineStr">
        <s:is>
          <s:t>RG-06</s:t>
        </s:is>
      </s:c>
      <s:c r="K9" s="42" t="inlineStr">
        <s:is>
          <s:t>Prova e kërkuar nga backlog-u: Domain/DB/version concurrency tests
Kriteri për t'u verifikuar (nuk deklarohet i kaluar): Published/approved version never mutated; edit creates new version as required; version belongs to same brand as refs.
DA-07: Ndrysho fotografi/tekst/kanal pas miratimit; versioni i vjetër mbetet identik dhe approval i vjetër nuk autorizon versionin e ri; provo konkurencën.
Pranimi kërkon edhe gate-et: RG-06. Asnjë gate nuk është shënuar Passed nga ky audit.</s:t>
        </s:is>
      </s:c>
    </s:row>
    <s:row r="10" ht="72" customHeight="1" s="48">
      <s:c r="A10" s="42" t="inlineStr">
        <s:is>
          <s:t>S3-B02</s:t>
        </s:is>
      </s:c>
      <s:c r="B10" s="42" t="inlineStr">
        <s:is>
          <s:t>S3</s:t>
        </s:is>
      </s:c>
      <s:c r="C10" s="42" t="inlineStr">
        <s:is>
          <s:t>P0</s:t>
        </s:is>
      </s:c>
      <s:c r="D10" s="42" t="inlineStr">
        <s:is>
          <s:t>In Review</s:t>
        </s:is>
      </s:c>
      <s:c r="E10" s="42" t="inlineStr">
        <s:is>
          <s:t>Kryer në kod — pret pranim/gate</s:t>
        </s:is>
      </s:c>
      <s:c r="F10" s="42" t="inlineStr">
        <s:is>
          <s:t>Programmer B</s:t>
        </s:is>
      </s:c>
      <s:c r="G10" s="42" t="inlineStr">
        <s:is>
          <s:t>Programmer A</s:t>
        </s:is>
      </s:c>
      <s:c r="H10" s="42" t="inlineStr">
        <s:is>
          <s:t>Build manual/custom post editor</s:t>
        </s:is>
      </s:c>
      <s:c r="I10" s="42" t="inlineStr">
        <s:is>
          <s:t>Mbeten fault/browser matrix më e plotë, composer me më shumë se një asset dhe pranimi RG-06/RG-14.</s:t>
        </s:is>
      </s:c>
      <s:c r="J10" s="42" t="inlineStr">
        <s:is>
          <s:t>RG-06,RG-14</s:t>
        </s:is>
      </s:c>
      <s:c r="K10" s="42" t="inlineStr">
        <s:is>
          <s:t>Prova e kërkuar nga backlog-u: E2E draft/version tests
Kriteri për t'u verifikuar (nuk deklarohet i kaluar): Draft survives refresh/fault; save conflict is explicit; invalid target/format combinations cannot be submitted.
DA-16: Foto katrore/portrait/landscape në të dy kanalet: krahaso preview me dimensionet e asset-it të dërguar; golden render për composer kur zbatohet.
Pranimi kërkon edhe gate-et: RG-06,RG-14. Asnjë gate nuk është shënuar Passed nga ky audit.</s:t>
        </s:is>
      </s:c>
    </s:row>
    <s:row r="11" ht="72" customHeight="1" s="48">
      <s:c r="A11" s="42" t="inlineStr">
        <s:is>
          <s:t>S4-A04</s:t>
        </s:is>
      </s:c>
      <s:c r="B11" s="42" t="inlineStr">
        <s:is>
          <s:t>S4</s:t>
        </s:is>
      </s:c>
      <s:c r="C11" s="42" t="inlineStr">
        <s:is>
          <s:t>P0</s:t>
        </s:is>
      </s:c>
      <s:c r="D11" s="42" t="inlineStr">
        <s:is>
          <s:t>In Review</s:t>
        </s:is>
      </s:c>
      <s:c r="E11" s="42" t="inlineStr">
        <s:is>
          <s:t>Kryer në kod — pret pranim/gate</s:t>
        </s:is>
      </s:c>
      <s:c r="F11" s="42" t="inlineStr">
        <s:is>
          <s:t>Programmer A</s:t>
        </s:is>
      </s:c>
      <s:c r="G11" s="42" t="inlineStr">
        <s:is>
          <s:t>Programmer B</s:t>
        </s:is>
      </s:c>
      <s:c r="H11" s="42" t="inlineStr">
        <s:is>
          <s:t>Implement Meta publisher adapter</s:t>
        </s:is>
      </s:c>
      <s:c r="I11" s="42" t="inlineStr">
        <s:is>
          <s:t>Mbeten Meta staging publish me llogari të autorizuar, public HTTPS/media expiry live dhe matrica e plotë për Instagram/provider errors.</s:t>
        </s:is>
      </s:c>
      <s:c r="J11" s="42" t="inlineStr">
        <s:is>
          <s:t>RG-04,RG-07</s:t>
        </s:is>
      </s:c>
      <s:c r="K11" s="42" t="inlineStr">
        <s:is>
          <s:t>Prova e kërkuar nga backlog-u: Meta test account publish + mocks
Kriteri për t'u verifikuar (nuk deklarohet i kaluar): Successful staging publish creates one expected post; media URL expires; unsupported capability fails before remote call.
DA-01: Fixture: job i krijuar dje, container i krijuar tani, IN_PROGRESS pastaj FINISHED; publikim vetëm një herë. Provo veçmas skadimin real të container-it.
DA-14: Facebook dhe Instagram: sukses, 429, 5xx, crash, expired token, cancel, timeout-after-write dhe dy worker-a; arkivo provider IDs pa tokenë.
Pranimi kërkon edhe gate-et: RG-04,RG-07. Asnjë gate nuk është shënuar Passed nga ky audit.</s:t>
        </s:is>
      </s:c>
    </s:row>
    <s:row r="12" ht="72" customHeight="1" s="48">
      <s:c r="A12" s="42" t="inlineStr">
        <s:is>
          <s:t>S4-A05</s:t>
        </s:is>
      </s:c>
      <s:c r="B12" s="42" t="inlineStr">
        <s:is>
          <s:t>S4</s:t>
        </s:is>
      </s:c>
      <s:c r="C12" s="42" t="inlineStr">
        <s:is>
          <s:t>P0</s:t>
        </s:is>
      </s:c>
      <s:c r="D12" s="42" t="inlineStr">
        <s:is>
          <s:t>In Review</s:t>
        </s:is>
      </s:c>
      <s:c r="E12" s="42" t="inlineStr">
        <s:is>
          <s:t>Kryer në kod — pret pranim/gate</s:t>
        </s:is>
      </s:c>
      <s:c r="F12" s="42" t="inlineStr">
        <s:is>
          <s:t>Programmer A</s:t>
        </s:is>
      </s:c>
      <s:c r="G12" s="42" t="inlineStr">
        <s:is>
          <s:t>Programmer B</s:t>
        </s:is>
      </s:c>
      <s:c r="H12" s="42" t="inlineStr">
        <s:is>
          <s:t>Implement retry/backoff error taxonomy</s:t>
        </s:is>
      </s:c>
      <s:c r="I12" s="42" t="inlineStr">
        <s:is>
          <s:t>Mbeten Retry-After, exponential backoff/jitter, attempt limits dhe taxonomy fixtures për 429/5xx/network/auth/media.</s:t>
        </s:is>
      </s:c>
      <s:c r="J12" s="42" t="inlineStr">
        <s:is>
          <s:t>RG-07</s:t>
        </s:is>
      </s:c>
      <s:c r="K12" s="42" t="inlineStr">
        <s:is>
          <s:t>Prova e kërkuar nga backlog-u: Fault fixtures for each class
Kriteri për t'u verifikuar (nuk deklarohet i kaluar): Retry-After honored; revoked token never endless-retries; terminal error has stable code/remediation.
DA-01: Fixture: job i krijuar dje, container i krijuar tani, IN_PROGRESS pastaj FINISHED; publikim vetëm një herë. Provo veçmas skadimin real të container-it.
Pranimi kërkon edhe gate-et: RG-07. Asnjë gate nuk është shënuar Passed nga ky audit.</s:t>
        </s:is>
      </s:c>
    </s:row>
    <s:row r="13" ht="72" customHeight="1" s="48">
      <s:c r="A13" s="42" t="inlineStr">
        <s:is>
          <s:t>S4-A06</s:t>
        </s:is>
      </s:c>
      <s:c r="B13" s="42" t="inlineStr">
        <s:is>
          <s:t>S4</s:t>
        </s:is>
      </s:c>
      <s:c r="C13" s="42" t="inlineStr">
        <s:is>
          <s:t>P0</s:t>
        </s:is>
      </s:c>
      <s:c r="D13" s="42" t="inlineStr">
        <s:is>
          <s:t>In Review</s:t>
        </s:is>
      </s:c>
      <s:c r="E13" s="42" t="inlineStr">
        <s:is>
          <s:t>Kryer në kod — pret pranim/gate</s:t>
        </s:is>
      </s:c>
      <s:c r="F13" s="42" t="inlineStr">
        <s:is>
          <s:t>Programmer A</s:t>
        </s:is>
      </s:c>
      <s:c r="G13" s="42" t="inlineStr">
        <s:is>
          <s:t>Programmer B</s:t>
        </s:is>
      </s:c>
      <s:c r="H13" s="42" t="inlineStr">
        <s:is>
          <s:t>Implement ambiguous-outcome reconciliation</s:t>
        </s:is>
      </s:c>
      <s:c r="I13" s="42" t="inlineStr">
        <s:is>
          <s:t>Kriteri lokal i simulimit është përmbushur. Mbeten staging proof me një remote post dhe procedura operative për zero/shumë përputhje; RG-07 nuk është mbyllur.</s:t>
        </s:is>
      </s:c>
      <s:c r="J13" s="42" t="inlineStr">
        <s:is>
          <s:t>RG-07</s:t>
        </s:is>
      </s:c>
      <s:c r="K13" s="42" t="inlineStr">
        <s:is>
          <s:t>Prova e kërkuar nga backlog-u: Fault injection timeout-after-side-effect
Kriteri për t'u verifikuar (nuk deklarohet i kaluar): Simulated timeout-after-success yields one remote post and local PUBLISHED; no blind duplicate.
DA-04: Timeout pas efektit të jashtëm → uncertain → disconnect → verifikim rezultati → reconnect; ruaj identitetin e target-it dhe mos dyfisho.
Pranimi kërkon edhe gate-et: RG-07. Asnjë gate nuk është shënuar Passed nga ky audit.</s:t>
        </s:is>
      </s:c>
    </s:row>
    <s:row r="14" ht="72" customHeight="1" s="48">
      <s:c r="A14" s="42" t="inlineStr">
        <s:is>
          <s:t>S4-A07</s:t>
        </s:is>
      </s:c>
      <s:c r="B14" s="42" t="inlineStr">
        <s:is>
          <s:t>S4</s:t>
        </s:is>
      </s:c>
      <s:c r="C14" s="42" t="inlineStr">
        <s:is>
          <s:t>P0</s:t>
        </s:is>
      </s:c>
      <s:c r="D14" s="42" t="inlineStr">
        <s:is>
          <s:t>In Review</s:t>
        </s:is>
      </s:c>
      <s:c r="E14" s="42" t="inlineStr">
        <s:is>
          <s:t>Kryer në kod — pret pranim/gate</s:t>
        </s:is>
      </s:c>
      <s:c r="F14" s="42" t="inlineStr">
        <s:is>
          <s:t>Programmer A</s:t>
        </s:is>
      </s:c>
      <s:c r="G14" s="42" t="inlineStr">
        <s:is>
          <s:t>Programmer B</s:t>
        </s:is>
      </s:c>
      <s:c r="H14" s="42" t="inlineStr">
        <s:is>
          <s:t>Add publication idempotency/attempt ledger</s:t>
        </s:is>
      </s:c>
      <s:c r="I14" s="42" t="inlineStr">
        <s:is>
          <s:t>Mbetet publication_attempts ledger immutable me request hash dhe histori të renditur për çdo tentim, plus prova HTTP→queue→provider në staging.</s:t>
        </s:is>
      </s:c>
      <s:c r="J14" s="42" t="inlineStr">
        <s:is>
          <s:t>RG-07</s:t>
        </s:is>
      </s:c>
      <s:c r="K14" s="42" t="inlineStr">
        <s:is>
          <s:t>Prova e kërkuar nga backlog-u: Duplicate/concurrency tests
Kriteri për t'u verifikuar (nuk deklarohet i kaluar): Duplicate HTTP/queue delivery yields same logical schedule/attempt outcome; attempt history ordered and immutable.
DA-14: Facebook dhe Instagram: sukses, 429, 5xx, crash, expired token, cancel, timeout-after-write dhe dy worker-a; arkivo provider IDs pa tokenë.
Pranimi kërkon edhe gate-et: RG-07. Asnjë gate nuk është shënuar Passed nga ky audit.</s:t>
        </s:is>
      </s:c>
    </s:row>
    <s:row r="15" ht="72" customHeight="1" s="48">
      <s:c r="A15" s="42" t="inlineStr">
        <s:is>
          <s:t>S4-B02</s:t>
        </s:is>
      </s:c>
      <s:c r="B15" s="42" t="inlineStr">
        <s:is>
          <s:t>S4</s:t>
        </s:is>
      </s:c>
      <s:c r="C15" s="42" t="inlineStr">
        <s:is>
          <s:t>P0</s:t>
        </s:is>
      </s:c>
      <s:c r="D15" s="42" t="inlineStr">
        <s:is>
          <s:t>In Review</s:t>
        </s:is>
      </s:c>
      <s:c r="E15" s="42" t="inlineStr">
        <s:is>
          <s:t>Kryer në kod — pret pranim/gate</s:t>
        </s:is>
      </s:c>
      <s:c r="F15" s="42" t="inlineStr">
        <s:is>
          <s:t>Programmer B</s:t>
        </s:is>
      </s:c>
      <s:c r="G15" s="42" t="inlineStr">
        <s:is>
          <s:t>Programmer A</s:t>
        </s:is>
      </s:c>
      <s:c r="H15" s="42" t="inlineStr">
        <s:is>
          <s:t>Build month/week/list content calendar</s:t>
        </s:is>
      </s:c>
      <s:c r="I15" s="42" t="inlineStr">
        <s:is>
          <s:t>Scope aktual përdor modal për orarin, jo drag. Mbeten pranim i plotë i pamjeve month/week/DST dhe RG-14.</s:t>
        </s:is>
      </s:c>
      <s:c r="J15" s="42" t="inlineStr">
        <s:is>
          <s:t>RG-14</s:t>
        </s:is>
      </s:c>
      <s:c r="K15" s="42" t="inlineStr">
        <s:is>
          <s:t>Prova e kërkuar nga backlog-u: E2E date range/mobile tests
Kriteri për t'u verifikuar (nuk deklarohet i kaluar): Business timezone/DST fixtures pass. Approved posts can be saved and reloaded in the calendar without Meta. Date changes through the modal cannot bypass approval/content policy. Manual items never publish automatically after a later connection. Month/week/list and mobile core actions are usable.
Pranimi kërkon edhe gate-et: RG-14. Asnjë gate nuk është shënuar Passed nga ky audit.</s:t>
        </s:is>
      </s:c>
    </s:row>
    <s:row r="16" ht="72" customHeight="1" s="48">
      <s:c r="A16" s="42" t="inlineStr">
        <s:is>
          <s:t>S4-B03</s:t>
        </s:is>
      </s:c>
      <s:c r="B16" s="42" t="inlineStr">
        <s:is>
          <s:t>S4</s:t>
        </s:is>
      </s:c>
      <s:c r="C16" s="42" t="inlineStr">
        <s:is>
          <s:t>P0</s:t>
        </s:is>
      </s:c>
      <s:c r="D16" s="42" t="inlineStr">
        <s:is>
          <s:t>In Review</s:t>
        </s:is>
      </s:c>
      <s:c r="E16" s="42" t="inlineStr">
        <s:is>
          <s:t>Kryer në kod — pret pranim/gate</s:t>
        </s:is>
      </s:c>
      <s:c r="F16" s="42" t="inlineStr">
        <s:is>
          <s:t>Programmer B</s:t>
        </s:is>
      </s:c>
      <s:c r="G16" s="42" t="inlineStr">
        <s:is>
          <s:t>Programmer A</s:t>
        </s:is>
      </s:c>
      <s:c r="H16" s="42" t="inlineStr">
        <s:is>
          <s:t>Build schedule/reschedule modal with timezone</s:t>
        </s:is>
      </s:c>
      <s:c r="I16" s="42" t="inlineStr">
        <s:is>
          <s:t>Për rrugën manuale kodi është implementuar dhe provuar; mbetet automatic me account real dhe date/DST browser matrix. RG-07/RG-14 janë ende të hapura.</s:t>
        </s:is>
      </s:c>
      <s:c r="J16" s="42" t="inlineStr">
        <s:is>
          <s:t>RG-07,RG-14</s:t>
        </s:is>
      </s:c>
      <s:c r="K16" s="42" t="inlineStr">
        <s:is>
          <s:t>Prova e kërkuar nga backlog-u: Timezone/DST E2E fixtures
Kriteri për t'u verifikuar (nuk deklarohet i kaluar): Ambiguous/nonexistent local times are rejected or resolved explicitly; double submit is safe. Manual dates save without an account and persist after refresh. Automatic publication cannot bypass fresh provider checks or server authorization. Invalid target capability is blocked only for external publishing.
Pranimi kërkon edhe gate-et: RG-07,RG-14. Asnjë gate nuk është shënuar Passed nga ky audit.</s:t>
        </s:is>
      </s:c>
    </s:row>
    <s:row r="17" ht="72" customHeight="1" s="48">
      <s:c r="A17" s="42" t="inlineStr">
        <s:is>
          <s:t>S5-B03</s:t>
        </s:is>
      </s:c>
      <s:c r="B17" s="42" t="inlineStr">
        <s:is>
          <s:t>S5</s:t>
        </s:is>
      </s:c>
      <s:c r="C17" s="42" t="inlineStr">
        <s:is>
          <s:t>P0</s:t>
        </s:is>
      </s:c>
      <s:c r="D17" s="42" t="inlineStr">
        <s:is>
          <s:t>In Review</s:t>
        </s:is>
      </s:c>
      <s:c r="E17" s="42" t="inlineStr">
        <s:is>
          <s:t>Kryer në kod — pret pranim/gate</s:t>
        </s:is>
      </s:c>
      <s:c r="F17" s="42" t="inlineStr">
        <s:is>
          <s:t>Programmer B</s:t>
        </s:is>
      </s:c>
      <s:c r="G17" s="42" t="inlineStr">
        <s:is>
          <s:t>Programmer A</s:t>
        </s:is>
      </s:c>
      <s:c r="H17" s="42" t="inlineStr">
        <s:is>
          <s:t>Finalize landing pricing/package presentation</s:t>
        </s:is>
      </s:c>
      <s:c r="I17" s="42" t="inlineStr">
        <s:is>
          <s:t>Mbeten miratimi i çmimeve, provider checkout/portal dhe contract test i subscription→entitlement; RG-08/RG-14 mbeten të hapura.</s:t>
        </s:is>
      </s:c>
      <s:c r="J17" s="42" t="inlineStr">
        <s:is>
          <s:t>RG-08,RG-14</s:t>
        </s:is>
      </s:c>
      <s:c r="K17" s="42" t="inlineStr">
        <s:is>
          <s:t>Prova e kërkuar nga backlog-u: Contract/UI snapshot tests
Kriteri për t'u verifikuar (nuk deklarohet i kaluar): No duplicate hardcoded commercial feature matrix; display matches server catalog and actual entitlements. EUR formatting, responsive layout, SSR/SEO and catalog failure states work. An unavailable plan cannot checkout. Proposed prices require commercial acceptance before paid launch.
DA-15: Për çdo plan/version provo features/limits të shfaqura kundrejt serverit, konfigurim të pavlefshëm, downgrade dhe expiry; pagesat kërkojnë sandbox më vete.
Pranimi kërkon edhe gate-et: RG-08,RG-14. Asnjë gate nuk është shënuar Passed nga ky audit.</s:t>
        </s:is>
      </s:c>
    </s:row>
    <s:row r="18" ht="72" customHeight="1" s="48">
      <s:c r="A18" s="42" t="inlineStr">
        <s:is>
          <s:t>S6-B10</s:t>
        </s:is>
      </s:c>
      <s:c r="B18" s="42" t="inlineStr">
        <s:is>
          <s:t>S6</s:t>
        </s:is>
      </s:c>
      <s:c r="C18" s="42" t="inlineStr">
        <s:is>
          <s:t>P0</s:t>
        </s:is>
      </s:c>
      <s:c r="D18" s="42" t="inlineStr">
        <s:is>
          <s:t>In Review</s:t>
        </s:is>
      </s:c>
      <s:c r="E18" s="42" t="inlineStr">
        <s:is>
          <s:t>Kryer në kod — pret pranim/gate</s:t>
        </s:is>
      </s:c>
      <s:c r="F18" s="42" t="inlineStr">
        <s:is>
          <s:t>Programmer B</s:t>
        </s:is>
      </s:c>
      <s:c r="G18" s="42" t="inlineStr">
        <s:is>
          <s:t>Programmer A</s:t>
        </s:is>
      </s:c>
      <s:c r="H18" s="42" t="inlineStr">
        <s:is>
          <s:t>Build actionable default dashboard / Marketing HQ</s:t>
        </s:is>
      </s:c>
      <s:c r="I18" s="42" t="inlineStr">
        <s:is>
          <s:t>Scope aktual heq campaigns/performance vanity metrics. Mbetet UAT/a11y/visual/performance review dhe RG-17.</s:t>
        </s:is>
      </s:c>
      <s:c r="J18" s="42" t="inlineStr">
        <s:is>
          <s:t>RG-17</s:t>
        </s:is>
      </s:c>
      <s:c r="K18" s="42" t="inlineStr">
        <s:is>
          <s:t>Prova e kërkuar nga backlog-u: Playwright + a11y + visual
Kriteri për t'u verifikuar (nuk deklarohet i kaluar): Above-the-fold content prioritizes useful actions; post details are collapsed initially; data is real and empty/error states truthful. Quick-create/approve/calendar/manual planning work without Meta. Mobile navigation, accessibility, visual and performance/UAT evidence are required.
Pranimi kërkon edhe gate-et: RG-17. Asnjë gate nuk është shënuar Passed nga ky audit.</s:t>
        </s:is>
      </s:c>
    </s:row>
    <s:row r="19" ht="72" customHeight="1" s="48">
      <s:c r="A19" s="42" t="inlineStr">
        <s:is>
          <s:t>S7-B09</s:t>
        </s:is>
      </s:c>
      <s:c r="B19" s="42" t="inlineStr">
        <s:is>
          <s:t>S7</s:t>
        </s:is>
      </s:c>
      <s:c r="C19" s="42" t="inlineStr">
        <s:is>
          <s:t>P0</s:t>
        </s:is>
      </s:c>
      <s:c r="D19" s="42" t="inlineStr">
        <s:is>
          <s:t>In Review</s:t>
        </s:is>
      </s:c>
      <s:c r="E19" s="42" t="inlineStr">
        <s:is>
          <s:t>Kryer në kod — pret pranim/gate</s:t>
        </s:is>
      </s:c>
      <s:c r="F19" s="42" t="inlineStr">
        <s:is>
          <s:t>Programmer B</s:t>
        </s:is>
      </s:c>
      <s:c r="G19" s="42" t="inlineStr">
        <s:is>
          <s:t>Programmer A</s:t>
        </s:is>
      </s:c>
      <s:c r="H19" s="42" t="inlineStr">
        <s:is>
          <s:t>Implement autosave, draft recovery and navigation protection consistently</s:t>
        </s:is>
      </s:c>
      <s:c r="I19" s="42" t="inlineStr">
        <s:is>
          <s:t>Duhet fault E2E offline/intermittent/concurrent recovery; strategy/campaign është jashtë scope-it dhe nuk deklarohet përfunduar.</s:t>
        </s:is>
      </s:c>
      <s:c r="J19" s="42" t="inlineStr">
        <s:is>
          <s:t>RG-17</s:t>
        </s:is>
      </s:c>
      <s:c r="K19" s="42" t="inlineStr">
        <s:is>
          <s:t>Prova e kërkuar nga backlog-u: Fault E2E
Kriteri për t'u verifikuar (nuk deklarohet i kaluar): Network interruption cannot silently lose accepted edits; conflict never silently overwrites; leave-page behavior explicit.
Pranimi kërkon edhe gate-et: RG-17. Asnjë gate nuk është shënuar Passed nga ky audit.</s:t>
        </s:is>
      </s:c>
    </s:row>
    <s:row r="20" ht="72" customHeight="1" s="48">
      <s:c r="A20" s="42" t="inlineStr">
        <s:is>
          <s:t>S0-B05</s:t>
        </s:is>
      </s:c>
      <s:c r="B20" s="42" t="inlineStr">
        <s:is>
          <s:t>S0</s:t>
        </s:is>
      </s:c>
      <s:c r="C20" s="42" t="inlineStr">
        <s:is>
          <s:t>P1</s:t>
        </s:is>
      </s:c>
      <s:c r="D20" s="42" t="inlineStr">
        <s:is>
          <s:t>In Review</s:t>
        </s:is>
      </s:c>
      <s:c r="E20" s="42" t="inlineStr">
        <s:is>
          <s:t>Kryer në kod — pret pranim/gate</s:t>
        </s:is>
      </s:c>
      <s:c r="F20" s="42" t="inlineStr">
        <s:is>
          <s:t>Programmer B</s:t>
        </s:is>
      </s:c>
      <s:c r="G20" s="42" t="inlineStr">
        <s:is>
          <s:t>Programmer A</s:t>
        </s:is>
      </s:c>
      <s:c r="H20" s="42" t="inlineStr">
        <s:is>
          <s:t>Build production landing page skeleton</s:t>
        </s:is>
      </s:c>
      <s:c r="I20" s="42" t="inlineStr">
        <s:is>
          <s:t>Matje aktuale Lighthouse/LCP në build prodhimi, responsive 360px dhe audit i pretendimeve tregtare/SEO.</s:t>
        </s:is>
      </s:c>
      <s:c r="J20" s="42" t="inlineStr">
        <s:is>
          <s:t>RG-14</s:t>
        </s:is>
      </s:c>
      <s:c r="K20" s="42" t="inlineStr">
        <s:is>
          <s:t>Prova e kërkuar nga backlog-u: Lighthouse + responsive QA
Kriteri për t'u verifikuar (nuk deklarohet i kaluar): Core marketing copy renders SSR; responsive 360px+; CTA paths valid; hero animation respects reduced motion and does not delay LCP.
Pranimi kërkon edhe gate-et: RG-14. Asnjë gate nuk është shënuar Passed nga ky audit.</s:t>
        </s:is>
      </s:c>
    </s:row>
    <s:row r="21" ht="72" customHeight="1" s="48">
      <s:c r="A21" s="42" t="inlineStr">
        <s:is>
          <s:t>S0-B08</s:t>
        </s:is>
      </s:c>
      <s:c r="B21" s="42" t="inlineStr">
        <s:is>
          <s:t>S0</s:t>
        </s:is>
      </s:c>
      <s:c r="C21" s="42" t="inlineStr">
        <s:is>
          <s:t>P1</s:t>
        </s:is>
      </s:c>
      <s:c r="D21" s="42" t="inlineStr">
        <s:is>
          <s:t>In Review</s:t>
        </s:is>
      </s:c>
      <s:c r="E21" s="42" t="inlineStr">
        <s:is>
          <s:t>Kryer në kod — pret pranim/gate</s:t>
        </s:is>
      </s:c>
      <s:c r="F21" s="42" t="inlineStr">
        <s:is>
          <s:t>Programmer B</s:t>
        </s:is>
      </s:c>
      <s:c r="G21" s="42" t="inlineStr">
        <s:is>
          <s:t>Programmer A</s:t>
        </s:is>
      </s:c>
      <s:c r="H21" s="42" t="inlineStr">
        <s:is>
          <s:t>Create Playwright test framework</s:t>
        </s:is>
      </s:c>
      <s:c r="I21" s="42" t="inlineStr">
        <s:is>
          <s:t>Mbeten hosted CI run, cleanup/isolim i provuar i fixture-ve dhe RG-14. Emrat aksesues të pagination-it mbeten anglisht nga primitive-i.</s:t>
        </s:is>
      </s:c>
      <s:c r="J21" s="42" t="inlineStr">
        <s:is>
          <s:t>RG-14</s:t>
        </s:is>
      </s:c>
      <s:c r="K21" s="42" t="inlineStr">
        <s:is>
          <s:t>Prova e kërkuar nga backlog-u: Playwright CI run
Kriteri për t'u verifikuar (nuk deklarohet i kaluar): Auth smoke runs deterministically in CI; failed tests upload trace/screenshot.
DA-08: CI nga checkout i pastër kalon testet me DB; heqja e një guard-i e bllokon merge-in. Arkivo raportet pa sekrete.
DA-17: Rerun live.spec.ts: 4/4 desktop/mobile, përfshirë pagination dhe axe në 7 faqe dashboard-i.
Pranimi kërkon edhe gate-et: RG-14. Asnjë gate nuk është shënuar Passed nga ky audit.</s:t>
        </s:is>
      </s:c>
    </s:row>
    <s:row r="22" ht="72" customHeight="1" s="48">
      <s:c r="A22" s="42" t="inlineStr">
        <s:is>
          <s:t>S0-B09</s:t>
        </s:is>
      </s:c>
      <s:c r="B22" s="42" t="inlineStr">
        <s:is>
          <s:t>S0</s:t>
        </s:is>
      </s:c>
      <s:c r="C22" s="42" t="inlineStr">
        <s:is>
          <s:t>P1</s:t>
        </s:is>
      </s:c>
      <s:c r="D22" s="42" t="inlineStr">
        <s:is>
          <s:t>In Review</s:t>
        </s:is>
      </s:c>
      <s:c r="E22" s="42" t="inlineStr">
        <s:is>
          <s:t>Kryer në kod — pret pranim/gate</s:t>
        </s:is>
      </s:c>
      <s:c r="F22" s="42" t="inlineStr">
        <s:is>
          <s:t>Programmer B</s:t>
        </s:is>
      </s:c>
      <s:c r="G22" s="42" t="inlineStr">
        <s:is>
          <s:t>Programmer A</s:t>
        </s:is>
      </s:c>
      <s:c r="H22" s="42" t="inlineStr">
        <s:is>
          <s:t>Establish accessibility baseline</s:t>
        </s:is>
      </s:c>
      <s:c r="I22" s="42" t="inlineStr">
        <s:is>
          <s:t>Raporti i vjetër me demo nuk pranon kodin aktual. Duhet rerun i plotë axe, keyboard/screen-reader, contrast dhe checklist manual për rrjedhat reale.</s:t>
        </s:is>
      </s:c>
      <s:c r="J22" s="42" t="inlineStr">
        <s:is>
          <s:t>RG-14</s:t>
        </s:is>
      </s:c>
      <s:c r="K22" s="42" t="inlineStr">
        <s:is>
          <s:t>Prova e kërkuar nga backlog-u: axe/keyboard manual smoke
Kriteri për t'u verifikuar (nuk deklarohet i kaluar): Auth/shell/landing baseline has no serious automated findings; focus visible; reduced-motion fixture verified.
Pranimi kërkon edhe gate-et: RG-14. Asnjë gate nuk është shënuar Passed nga ky audit.</s:t>
        </s:is>
      </s:c>
    </s:row>
    <s:row r="23" ht="72" customHeight="1" s="48">
      <s:c r="A23" s="42" t="inlineStr">
        <s:is>
          <s:t>S1-A07</s:t>
        </s:is>
      </s:c>
      <s:c r="B23" s="42" t="inlineStr">
        <s:is>
          <s:t>S1</s:t>
        </s:is>
      </s:c>
      <s:c r="C23" s="42" t="inlineStr">
        <s:is>
          <s:t>P1</s:t>
        </s:is>
      </s:c>
      <s:c r="D23" s="42" t="inlineStr">
        <s:is>
          <s:t>In Review</s:t>
        </s:is>
      </s:c>
      <s:c r="E23" s="42" t="inlineStr">
        <s:is>
          <s:t>Kryer në kod — pret pranim/gate</s:t>
        </s:is>
      </s:c>
      <s:c r="F23" s="42" t="inlineStr">
        <s:is>
          <s:t>Programmer A</s:t>
        </s:is>
      </s:c>
      <s:c r="G23" s="42" t="inlineStr">
        <s:is>
          <s:t>Programmer B</s:t>
        </s:is>
      </s:c>
      <s:c r="H23" s="42" t="inlineStr">
        <s:is>
          <s:t>Create entitlement service skeleton</s:t>
        </s:is>
      </s:c>
      <s:c r="I23" s="42" t="inlineStr">
        <s:is>
          <s:t>Mbeten subscription/provider lifecycle, downgrade rules, device abuse hardening dhe prova e integrimit komercial end-to-end; RG-08 mbetet i hapur.</s:t>
        </s:is>
      </s:c>
      <s:c r="J23" s="42" t="inlineStr">
        <s:is>
          <s:t>RG-08</s:t>
        </s:is>
      </s:c>
      <s:c r="K23" s="42" t="inlineStr">
        <s:is>
          <s:t>Prova e kërkuar nga backlog-u: Entitlement unit/integration tests
Kriteri për t'u verifikuar (nuk deklarohet i kaluar): Unknown entitlement fails safely; plan limits come from the database. Trial is not extended on retry; duplicate email/browser/social identities cannot obtain another grant. Expiry blocks new entitled writes while preserving reads/export. Social connection is optional; browser cookies are not represented as hardware identity. Plan/version and typed limit tests remain required.
DA-15: Për çdo plan/version provo features/limits të shfaqura kundrejt serverit, konfigurim të pavlefshëm, downgrade dhe expiry; pagesat kërkojnë sandbox më vete.
Pranimi kërkon edhe gate-et: RG-08. Asnjë gate nuk është shënuar Passed nga ky audit.</s:t>
        </s:is>
      </s:c>
    </s:row>
    <s:row r="24" ht="72" customHeight="1" s="48">
      <s:c r="A24" s="42" t="inlineStr">
        <s:is>
          <s:t>S8-B13</s:t>
        </s:is>
      </s:c>
      <s:c r="B24" s="42" t="inlineStr">
        <s:is>
          <s:t>S8</s:t>
        </s:is>
      </s:c>
      <s:c r="C24" s="42" t="inlineStr">
        <s:is>
          <s:t>P1</s:t>
        </s:is>
      </s:c>
      <s:c r="D24" s="42" t="inlineStr">
        <s:is>
          <s:t>In Review</s:t>
        </s:is>
      </s:c>
      <s:c r="E24" s="42" t="inlineStr">
        <s:is>
          <s:t>Kryer në kod — pret pranim/gate</s:t>
        </s:is>
      </s:c>
      <s:c r="F24" s="42" t="inlineStr">
        <s:is>
          <s:t>Programmer B</s:t>
        </s:is>
      </s:c>
      <s:c r="G24" s="42" t="inlineStr">
        <s:is>
          <s:t>Programmer A</s:t>
        </s:is>
      </s:c>
      <s:c r="H24" s="42" t="inlineStr">
        <s:is>
          <s:t>Build contextual help, onboarding checklist and first-run sample path</s:t>
        </s:is>
      </s:c>
      <s:c r="I24" s="42" t="inlineStr">
        <s:is>
          <s:t>Mbeten checklist/funnel telemetry, UAT me biznese reale dhe RG-17.</s:t>
        </s:is>
      </s:c>
      <s:c r="J24" s="42" t="inlineStr">
        <s:is>
          <s:t>RG-17</s:t>
        </s:is>
      </s:c>
      <s:c r="K24" s="42" t="inlineStr">
        <s:is>
          <s:t>Prova e kërkuar nga backlog-u: UAT + product telemetry
Kriteri për t'u verifikuar (nuk deklarohet i kaluar): A fresh account starts with an empty private workspace, has a clear next action and persists real progress. No demonstration tenant or fabricated imported/generated/published result exists. Manual posts can be approved and planned without Meta. Trial eligibility/expiry is server-authoritative; fresh-account UAT and funnel evidence remain required.
DA-13: Content review në local bypass dhe public verification, pa përshkrime të shërbimeve të paaktivizuara si aktive; operatori pranon versionin publik.
Pranimi kërkon edhe gate-et: RG-17. Asnjë gate nuk është shënuar Passed nga ky audit.</s:t>
        </s:is>
      </s:c>
    </s:row>
    <s:row r="25" ht="72" customHeight="1" s="48">
      <s:c r="A25" s="42" t="inlineStr">
        <s:is>
          <s:t>S0-A09</s:t>
        </s:is>
      </s:c>
      <s:c r="B25" s="42" t="inlineStr">
        <s:is>
          <s:t>S0</s:t>
        </s:is>
      </s:c>
      <s:c r="C25" s="42" t="inlineStr">
        <s:is>
          <s:t>P0</s:t>
        </s:is>
      </s:c>
      <s:c r="D25" s="42" t="inlineStr">
        <s:is>
          <s:t>In Progress</s:t>
        </s:is>
      </s:c>
      <s:c r="E25" s="42" t="inlineStr">
        <s:is>
          <s:t>Pjesërisht — kërkon zhvillim</s:t>
        </s:is>
      </s:c>
      <s:c r="F25" s="42" t="inlineStr">
        <s:is>
          <s:t>Programmer A</s:t>
        </s:is>
      </s:c>
      <s:c r="G25" s="42" t="inlineStr">
        <s:is>
          <s:t>Programmer B</s:t>
        </s:is>
      </s:c>
      <s:c r="H25" s="42" t="inlineStr">
        <s:is>
          <s:t>Create backend/security CI gates</s:t>
        </s:is>
      </s:c>
      <s:c r="I25" s="42" t="inlineStr">
        <s:is>
          <s:t>Mbeten run hosted, required branch checks, deliberate failing PR dhe gates RLS/secret/container. Workspace nuk ka .git, prandaj merge blocking nuk mund të provohet lokalisht.</s:t>
        </s:is>
      </s:c>
      <s:c r="J25" s="42" t="inlineStr">
        <s:is>
          <s:t>RG-01</s:t>
        </s:is>
      </s:c>
      <s:c r="K25" s="42" t="inlineStr">
        <s:is>
          <s:t>Prova e kërkuar nga backlog-u: Deliberate failing PR checks
Kriteri për t'u verifikuar (nuk deklarohet i kaluar): PR cannot merge when any gate fails; CI artifacts include test reports.
DA-08: CI nga checkout i pastër kalon testet me DB; heqja e një guard-i e bllokon merge-in. Arkivo raportet pa sekrete.
Pranimi kërkon edhe gate-et: RG-01. Asnjë gate nuk është shënuar Passed nga ky audit.</s:t>
        </s:is>
      </s:c>
    </s:row>
    <s:row r="26" ht="72" customHeight="1" s="48">
      <s:c r="A26" s="42" t="inlineStr">
        <s:is>
          <s:t>S0-B04</s:t>
        </s:is>
      </s:c>
      <s:c r="B26" s="42" t="inlineStr">
        <s:is>
          <s:t>S0</s:t>
        </s:is>
      </s:c>
      <s:c r="C26" s="42" t="inlineStr">
        <s:is>
          <s:t>P0</s:t>
        </s:is>
      </s:c>
      <s:c r="D26" s="42" t="inlineStr">
        <s:is>
          <s:t>In Progress</s:t>
        </s:is>
      </s:c>
      <s:c r="E26" s="42" t="inlineStr">
        <s:is>
          <s:t>Pjesërisht — kërkon zhvillim</s:t>
        </s:is>
      </s:c>
      <s:c r="F26" s="42" t="inlineStr">
        <s:is>
          <s:t>Programmer B</s:t>
        </s:is>
      </s:c>
      <s:c r="G26" s="42" t="inlineStr">
        <s:is>
          <s:t>Programmer A</s:t>
        </s:is>
      </s:c>
      <s:c r="H26" s="42" t="inlineStr">
        <s:is>
          <s:t>Implement login/signup/verify/recovery flows</s:t>
        </s:is>
      </s:c>
      <s:c r="I26" s="42" t="inlineStr">
        <s:is>
          <s:t>Mbeten verify/reset/expired/error me SMTP real në staging, public-origin verification dhe RG-03.</s:t>
        </s:is>
      </s:c>
      <s:c r="J26" s="42" t="inlineStr">
        <s:is>
          <s:t>RG-03</s:t>
        </s:is>
      </s:c>
      <s:c r="K26" s="42" t="inlineStr">
        <s:is>
          <s:t>Prova e kërkuar nga backlog-u: Playwright auth suite
Kriteri për t'u verifikuar (nuk deklarohet i kaluar): Happy/error/expired flows work against local/staging auth; redirects are safe; session clears on logout. Local bypass sends no verification link and does not forge emailVerified=true. Public origins still require verification. Tests cover both loopback host aliases and reject foreign origins.
DA-06: Llogari ekzistuese me trial policy të padisponueshme: login lejohet kur auth punon; signup jep gabim të qartë; recovery ndjek vetëm gatishmërinë e emailit/auth.
Pranimi kërkon edhe gate-et: RG-03. Asnjë gate nuk është shënuar Passed nga ky audit.</s:t>
        </s:is>
      </s:c>
    </s:row>
    <s:row r="27" ht="72" customHeight="1" s="48">
      <s:c r="A27" s="42" t="inlineStr">
        <s:is>
          <s:t>S0-B06</s:t>
        </s:is>
      </s:c>
      <s:c r="B27" s="42" t="inlineStr">
        <s:is>
          <s:t>S0</s:t>
        </s:is>
      </s:c>
      <s:c r="C27" s="42" t="inlineStr">
        <s:is>
          <s:t>P0</s:t>
        </s:is>
      </s:c>
      <s:c r="D27" s="42" t="inlineStr">
        <s:is>
          <s:t>In Progress</s:t>
        </s:is>
      </s:c>
      <s:c r="E27" s="42" t="inlineStr">
        <s:is>
          <s:t>Pjesërisht — kërkon zhvillim</s:t>
        </s:is>
      </s:c>
      <s:c r="F27" s="42" t="inlineStr">
        <s:is>
          <s:t>Programmer B</s:t>
        </s:is>
      </s:c>
      <s:c r="G27" s="42" t="inlineStr">
        <s:is>
          <s:t>Programmer A</s:t>
        </s:is>
      </s:c>
      <s:c r="H27" s="42" t="inlineStr">
        <s:is>
          <s:t>Generate typed frontend API client</s:t>
        </s:is>
      </s:c>
      <s:c r="I27" s="42" t="inlineStr">
        <s:is>
          <s:t>Nuk ka OpenAPI export/client generation, contract diff apo Problem/request-id të unifikuar; useApi nuk është transporti i vetëm i rrjedhave.</s:t>
        </s:is>
      </s:c>
      <s:c r="J27" s="42" t="inlineStr">
        <s:is>
          <s:t>RG-01</s:t>
        </s:is>
      </s:c>
      <s:c r="K27" s="42" t="inlineStr">
        <s:is>
          <s:t>Prova e kërkuar nga backlog-u: Contract generation diff test
Kriteri për t'u verifikuar (nuk deklarohet i kaluar): Generated client compiles; manual DTO duplication prohibited; API Problem errors map to typed UI error.
Pranimi kërkon edhe gate-et: RG-01. Asnjë gate nuk është shënuar Passed nga ky audit.</s:t>
        </s:is>
      </s:c>
    </s:row>
    <s:row r="28" ht="72" customHeight="1" s="48">
      <s:c r="A28" s="42" t="inlineStr">
        <s:is>
          <s:t>S0-B07</s:t>
        </s:is>
      </s:c>
      <s:c r="B28" s="42" t="inlineStr">
        <s:is>
          <s:t>S0</s:t>
        </s:is>
      </s:c>
      <s:c r="C28" s="42" t="inlineStr">
        <s:is>
          <s:t>P0</s:t>
        </s:is>
      </s:c>
      <s:c r="D28" s="42" t="inlineStr">
        <s:is>
          <s:t>In Progress</s:t>
        </s:is>
      </s:c>
      <s:c r="E28" s="42" t="inlineStr">
        <s:is>
          <s:t>Pjesërisht — kërkon zhvillim</s:t>
        </s:is>
      </s:c>
      <s:c r="F28" s="42" t="inlineStr">
        <s:is>
          <s:t>Programmer B</s:t>
        </s:is>
      </s:c>
      <s:c r="G28" s="42" t="inlineStr">
        <s:is>
          <s:t>Programmer A</s:t>
        </s:is>
      </s:c>
      <s:c r="H28" s="42" t="inlineStr">
        <s:is>
          <s:t>Create web quality pipeline</s:t>
        </s:is>
      </s:c>
      <s:c r="I28" s="42" t="inlineStr">
        <s:is>
          <s:t>Mbeten run hosted, reproducibility nga checkout i pastër, required-check enforcement dhe deliberate failing check.</s:t>
        </s:is>
      </s:c>
      <s:c r="J28" s="42" t="inlineStr">
        <s:is>
          <s:t>RG-01</s:t>
        </s:is>
      </s:c>
      <s:c r="K28" s="42" t="inlineStr">
        <s:is>
          <s:t>Prova e kërkuar nga backlog-u: Failing-check verification
Kriteri për t'u verifikuar (nuk deklarohet i kaluar): Required checks block merge; build artifact reproducible; material bundle regression visible in CI.
DA-08: CI nga checkout i pastër kalon testet me DB; heqja e një guard-i e bllokon merge-in. Arkivo raportet pa sekrete.
Pranimi kërkon edhe gate-et: RG-01. Asnjë gate nuk është shënuar Passed nga ky audit.</s:t>
        </s:is>
      </s:c>
    </s:row>
    <s:row r="29" ht="72" customHeight="1" s="48">
      <s:c r="A29" s="42" t="inlineStr">
        <s:is>
          <s:t>S1-A01</s:t>
        </s:is>
      </s:c>
      <s:c r="B29" s="42" t="inlineStr">
        <s:is>
          <s:t>S1</s:t>
        </s:is>
      </s:c>
      <s:c r="C29" s="42" t="inlineStr">
        <s:is>
          <s:t>P0</s:t>
        </s:is>
      </s:c>
      <s:c r="D29" s="42" t="inlineStr">
        <s:is>
          <s:t>In Progress</s:t>
        </s:is>
      </s:c>
      <s:c r="E29" s="42" t="inlineStr">
        <s:is>
          <s:t>Pjesërisht — kërkon zhvillim</s:t>
        </s:is>
      </s:c>
      <s:c r="F29" s="42" t="inlineStr">
        <s:is>
          <s:t>Programmer A</s:t>
        </s:is>
      </s:c>
      <s:c r="G29" s="42" t="inlineStr">
        <s:is>
          <s:t>Programmer B</s:t>
        </s:is>
      </s:c>
      <s:c r="H29" s="42" t="inlineStr">
        <s:is>
          <s:t>Implement organizations domain/schema/API</s:t>
        </s:is>
      </s:c>
      <s:c r="I29" s="42" t="inlineStr">
        <s:is>
          <s:t>Nuk ka organizations+memberships si domain i veçantë, as RLS/role matrix apo lifecycle i plotë organizate.</s:t>
        </s:is>
      </s:c>
      <s:c r="J29" s="42" t="inlineStr">
        <s:is>
          <s:t>RG-02,RG-03</s:t>
        </s:is>
      </s:c>
      <s:c r="K29" s="42" t="inlineStr">
        <s:is>
          <s:t>Prova e kërkuar nga backlog-u: API + RLS tests
Kriteri për t'u verifikuar (nuk deklarohet i kaluar): Create is atomic with Owner membership; slug/name validation; Org B cannot read Org A.
Pranimi kërkon edhe gate-et: RG-02,RG-03. Asnjë gate nuk është shënuar Passed nga ky audit.</s:t>
        </s:is>
      </s:c>
    </s:row>
    <s:row r="30" ht="72" customHeight="1" s="48">
      <s:c r="A30" s="42" t="inlineStr">
        <s:is>
          <s:t>S1-A03</s:t>
        </s:is>
      </s:c>
      <s:c r="B30" s="42" t="inlineStr">
        <s:is>
          <s:t>S1</s:t>
        </s:is>
      </s:c>
      <s:c r="C30" s="42" t="inlineStr">
        <s:is>
          <s:t>P0</s:t>
        </s:is>
      </s:c>
      <s:c r="D30" s="42" t="inlineStr">
        <s:is>
          <s:t>In Progress</s:t>
        </s:is>
      </s:c>
      <s:c r="E30" s="42" t="inlineStr">
        <s:is>
          <s:t>Pjesërisht — kërkon zhvillim</s:t>
        </s:is>
      </s:c>
      <s:c r="F30" s="42" t="inlineStr">
        <s:is>
          <s:t>Programmer A</s:t>
        </s:is>
      </s:c>
      <s:c r="G30" s="42" t="inlineStr">
        <s:is>
          <s:t>Programmer B</s:t>
        </s:is>
      </s:c>
      <s:c r="H30" s="42" t="inlineStr">
        <s:is>
          <s:t>Centralize RBAC capability policy</s:t>
        </s:is>
      </s:c>
      <s:c r="I30" s="42" t="inlineStr">
        <s:is>
          <s:t>Mungon AuthorizationService me Owner/Admin/Marketer/Approver/Analyst/Billing dhe matrica e provuar. Kjo kërkesë enterprise mbetet e hapur.</s:t>
        </s:is>
      </s:c>
      <s:c r="J30" s="42" t="inlineStr">
        <s:is>
          <s:t>RG-03</s:t>
        </s:is>
      </s:c>
      <s:c r="K30" s="42" t="inlineStr">
        <s:is>
          <s:t>Prova e kërkuar nga backlog-u: Role matrix parameterized tests
Kriteri për t'u verifikuar (nuk deklarohet i kaluar): All protected endpoints use shared policy; role matrix test covers Owner/Admin/Marketer/Approver/Analyst/Billing.
Pranimi kërkon edhe gate-et: RG-03. Asnjë gate nuk është shënuar Passed nga ky audit.</s:t>
        </s:is>
      </s:c>
    </s:row>
    <s:row r="31" ht="72" customHeight="1" s="48">
      <s:c r="A31" s="42" t="inlineStr">
        <s:is>
          <s:t>S1-A05</s:t>
        </s:is>
      </s:c>
      <s:c r="B31" s="42" t="inlineStr">
        <s:is>
          <s:t>S1</s:t>
        </s:is>
      </s:c>
      <s:c r="C31" s="42" t="inlineStr">
        <s:is>
          <s:t>P0</s:t>
        </s:is>
      </s:c>
      <s:c r="D31" s="42" t="inlineStr">
        <s:is>
          <s:t>In Progress</s:t>
        </s:is>
      </s:c>
      <s:c r="E31" s="42" t="inlineStr">
        <s:is>
          <s:t>Pjesërisht — kërkon zhvillim</s:t>
        </s:is>
      </s:c>
      <s:c r="F31" s="42" t="inlineStr">
        <s:is>
          <s:t>Programmer A</s:t>
        </s:is>
      </s:c>
      <s:c r="G31" s="42" t="inlineStr">
        <s:is>
          <s:t>Programmer B</s:t>
        </s:is>
      </s:c>
      <s:c r="H31" s="42" t="inlineStr">
        <s:is>
          <s:t>Implement brand domain/schema/API</s:t>
        </s:is>
      </s:c>
      <s:c r="I31" s="42" t="inlineStr">
        <s:is>
          <s:t>Brand si nën-entitet i org, multi-brand, archive/delete dhe RLS nuk janë implementuar.</s:t>
        </s:is>
      </s:c>
      <s:c r="J31" s="42" t="inlineStr">
        <s:is>
          <s:t>RG-02</s:t>
        </s:is>
      </s:c>
      <s:c r="K31" s="42" t="inlineStr">
        <s:is>
          <s:t>Prova e kërkuar nga backlog-u: API/RLS/domain tests
Kriteri për t'u verifikuar (nuk deklarohet i kaluar): Brand always belongs to org; IANA timezone validation; delete/archive semantics enforced.
Pranimi kërkon edhe gate-et: RG-02. Asnjë gate nuk është shënuar Passed nga ky audit.</s:t>
        </s:is>
      </s:c>
    </s:row>
    <s:row r="32" ht="72" customHeight="1" s="48">
      <s:c r="A32" s="42" t="inlineStr">
        <s:is>
          <s:t>S1-A06</s:t>
        </s:is>
      </s:c>
      <s:c r="B32" s="42" t="inlineStr">
        <s:is>
          <s:t>S1</s:t>
        </s:is>
      </s:c>
      <s:c r="C32" s="42" t="inlineStr">
        <s:is>
          <s:t>P0</s:t>
        </s:is>
      </s:c>
      <s:c r="D32" s="42" t="inlineStr">
        <s:is>
          <s:t>In Progress</s:t>
        </s:is>
      </s:c>
      <s:c r="E32" s="42" t="inlineStr">
        <s:is>
          <s:t>Pjesërisht — kërkon zhvillim</s:t>
        </s:is>
      </s:c>
      <s:c r="F32" s="42" t="inlineStr">
        <s:is>
          <s:t>Programmer A</s:t>
        </s:is>
      </s:c>
      <s:c r="G32" s="42" t="inlineStr">
        <s:is>
          <s:t>Programmer B</s:t>
        </s:is>
      </s:c>
      <s:c r="H32" s="42" t="inlineStr">
        <s:is>
          <s:t>Create verified knowledge schema</s:t>
        </s:is>
      </s:c>
      <s:c r="I32" s="42" t="inlineStr">
        <s:is>
          <s:t>Nuk ka fact lifecycle/candidates/confidence, voice versions, oferta me afat/monedhë apo guardrails domain. Checkbox verified nuk është verifikim i pavarur.</s:t>
        </s:is>
      </s:c>
      <s:c r="J32" s="42" t="inlineStr">
        <s:is>
          <s:t>RG-06</s:t>
        </s:is>
      </s:c>
      <s:c r="K32" s="42" t="inlineStr">
        <s:is>
          <s:t>Prova e kërkuar nga backlog-u: Domain + constraint tests
Kriteri për t'u verifikuar (nuk deklarohet i kaluar): Only allowed fact state transitions; active offer validates dates/currency; provenance required for inferred fact.
Pranimi kërkon edhe gate-et: RG-06. Asnjë gate nuk është shënuar Passed nga ky audit.</s:t>
        </s:is>
      </s:c>
    </s:row>
    <s:row r="33" ht="72" customHeight="1" s="48">
      <s:c r="A33" s="42" t="inlineStr">
        <s:is>
          <s:t>S1-A08</s:t>
        </s:is>
      </s:c>
      <s:c r="B33" s="42" t="inlineStr">
        <s:is>
          <s:t>S1</s:t>
        </s:is>
      </s:c>
      <s:c r="C33" s="42" t="inlineStr">
        <s:is>
          <s:t>P0</s:t>
        </s:is>
      </s:c>
      <s:c r="D33" s="42" t="inlineStr">
        <s:is>
          <s:t>In Progress</s:t>
        </s:is>
      </s:c>
      <s:c r="E33" s="42" t="inlineStr">
        <s:is>
          <s:t>Pjesërisht — kërkon zhvillim</s:t>
        </s:is>
      </s:c>
      <s:c r="F33" s="42" t="inlineStr">
        <s:is>
          <s:t>Programmer A</s:t>
        </s:is>
      </s:c>
      <s:c r="G33" s="42" t="inlineStr">
        <s:is>
          <s:t>Programmer B</s:t>
        </s:is>
      </s:c>
      <s:c r="H33" s="42" t="inlineStr">
        <s:is>
          <s:t>Implement append-only audit events</s:t>
        </s:is>
      </s:c>
      <s:c r="I33" s="42" t="inlineStr">
        <s:is>
          <s:t>Nuk ka append-only permissions, resource/result të plotë apo hooks për të gjitha veprimet auth/Meta/approval.</s:t>
        </s:is>
      </s:c>
      <s:c r="J33" s="42" t="inlineStr">
        <s:is>
          <s:t>RG-03</s:t>
        </s:is>
      </s:c>
      <s:c r="K33" s="42" t="inlineStr">
        <s:is>
          <s:t>Prova e kërkuar nga backlog-u: Audit integration/permission tests
Kriteri për t'u verifikuar (nuk deklarohet i kaluar): Required actions produce actor/resource/result event; runtime role cannot mutate historical audit row.
Pranimi kërkon edhe gate-et: RG-03. Asnjë gate nuk është shënuar Passed nga ky audit.</s:t>
        </s:is>
      </s:c>
    </s:row>
    <s:row r="34" ht="72" customHeight="1" s="48">
      <s:c r="A34" s="42" t="inlineStr">
        <s:is>
          <s:t>S1-A09</s:t>
        </s:is>
      </s:c>
      <s:c r="B34" s="42" t="inlineStr">
        <s:is>
          <s:t>S1</s:t>
        </s:is>
      </s:c>
      <s:c r="C34" s="42" t="inlineStr">
        <s:is>
          <s:t>P0</s:t>
        </s:is>
      </s:c>
      <s:c r="D34" s="42" t="inlineStr">
        <s:is>
          <s:t>In Progress</s:t>
        </s:is>
      </s:c>
      <s:c r="E34" s="42" t="inlineStr">
        <s:is>
          <s:t>Pjesërisht — kërkon zhvillim</s:t>
        </s:is>
      </s:c>
      <s:c r="F34" s="42" t="inlineStr">
        <s:is>
          <s:t>Programmer A</s:t>
        </s:is>
      </s:c>
      <s:c r="G34" s="42" t="inlineStr">
        <s:is>
          <s:t>Programmer B</s:t>
        </s:is>
      </s:c>
      <s:c r="H34" s="42" t="inlineStr">
        <s:is>
          <s:t>Expand tenant/RBAC negative suite</s:t>
        </s:is>
      </s:c>
      <s:c r="I34" s="42" t="inlineStr">
        <s:is>
          <s:t>Mungon matricë allow/cross-tenant/role deny për çdo resource dhe RLS test harness në CI.</s:t>
        </s:is>
      </s:c>
      <s:c r="J34" s="42" t="inlineStr">
        <s:is>
          <s:t>RG-02,RG-03</s:t>
        </s:is>
      </s:c>
      <s:c r="K34" s="42" t="inlineStr">
        <s:is>
          <s:t>Prova e kërkuar nga backlog-u: Security test suite
Kriteri për t'u verifikuar (nuk deklarohet i kaluar): At least one allow + cross-tenant deny + insufficient-role deny per resource class; no ID existence leak in error detail.
Pranimi kërkon edhe gate-et: RG-02,RG-03. Asnjë gate nuk është shënuar Passed nga ky audit.</s:t>
        </s:is>
      </s:c>
    </s:row>
    <s:row r="35" ht="72" customHeight="1" s="48">
      <s:c r="A35" s="42" t="inlineStr">
        <s:is>
          <s:t>S1-B01</s:t>
        </s:is>
      </s:c>
      <s:c r="B35" s="42" t="inlineStr">
        <s:is>
          <s:t>S1</s:t>
        </s:is>
      </s:c>
      <s:c r="C35" s="42" t="inlineStr">
        <s:is>
          <s:t>P0</s:t>
        </s:is>
      </s:c>
      <s:c r="D35" s="42" t="inlineStr">
        <s:is>
          <s:t>In Progress</s:t>
        </s:is>
      </s:c>
      <s:c r="E35" s="42" t="inlineStr">
        <s:is>
          <s:t>Pjesërisht — kërkon zhvillim</s:t>
        </s:is>
      </s:c>
      <s:c r="F35" s="42" t="inlineStr">
        <s:is>
          <s:t>Programmer B</s:t>
        </s:is>
      </s:c>
      <s:c r="G35" s="42" t="inlineStr">
        <s:is>
          <s:t>Programmer A</s:t>
        </s:is>
      </s:c>
      <s:c r="H35" s="42" t="inlineStr">
        <s:is>
          <s:t>Build create/switch organization experience</s:t>
        </s:is>
      </s:c>
      <s:c r="I35" s="42" t="inlineStr">
        <s:is>
          <s:t>Aktualisht një biznes për owner; multi-org switcher, membership removal/reselect dhe lifecycle i plotë nuk janë implementuar.</s:t>
        </s:is>
      </s:c>
      <s:c r="J35" s="42" t="inlineStr">
        <s:is>
          <s:t>RG-14</s:t>
        </s:is>
      </s:c>
      <s:c r="K35" s="42" t="inlineStr">
        <s:is>
          <s:t>Prova e kërkuar nga backlog-u: Playwright org lifecycle
Kriteri për t'u verifikuar (nuk deklarohet i kaluar): Refresh restores valid org; removed membership forces safe reselect; no arbitrary org ID accepted.
Pranimi kërkon edhe gate-et: RG-14. Asnjë gate nuk është shënuar Passed nga ky audit.</s:t>
        </s:is>
      </s:c>
    </s:row>
    <s:row r="36" ht="72" customHeight="1" s="48">
      <s:c r="A36" s="42" t="inlineStr">
        <s:is>
          <s:t>S1-B02</s:t>
        </s:is>
      </s:c>
      <s:c r="B36" s="42" t="inlineStr">
        <s:is>
          <s:t>S1</s:t>
        </s:is>
      </s:c>
      <s:c r="C36" s="42" t="inlineStr">
        <s:is>
          <s:t>P0</s:t>
        </s:is>
      </s:c>
      <s:c r="D36" s="42" t="inlineStr">
        <s:is>
          <s:t>In Progress</s:t>
        </s:is>
      </s:c>
      <s:c r="E36" s="42" t="inlineStr">
        <s:is>
          <s:t>Pjesërisht — kërkon zhvillim</s:t>
        </s:is>
      </s:c>
      <s:c r="F36" s="42" t="inlineStr">
        <s:is>
          <s:t>Programmer B</s:t>
        </s:is>
      </s:c>
      <s:c r="G36" s="42" t="inlineStr">
        <s:is>
          <s:t>Programmer A</s:t>
        </s:is>
      </s:c>
      <s:c r="H36" s="42" t="inlineStr">
        <s:is>
          <s:t>Build multi-step business onboarding</s:t>
        </s:is>
      </s:c>
      <s:c r="I36" s="42" t="inlineStr">
        <s:is>
          <s:t>Duhet suite që provon refresh/logout/login në çdo hap, timezone/goals/facts sipas kontratës dhe përdorues të rinj në 360px.</s:t>
        </s:is>
      </s:c>
      <s:c r="J36" s="42" t="inlineStr">
        <s:is>
          <s:t>RG-14</s:t>
        </s:is>
      </s:c>
      <s:c r="K36" s="42" t="inlineStr">
        <s:is>
          <s:t>Prova e kërkuar nga backlog-u: Playwright onboarding desktop/mobile
Kriteri për t'u verifikuar (nuk deklarohet i kaluar): Refresh/logout/login resumes the correct completed step; user can continue, create posts, approve and plan without Meta. Validation is actionable; mobile has no horizontal scroll. Only actual business data is used; no demo workspace is created.
Pranimi kërkon edhe gate-et: RG-14. Asnjë gate nuk është shënuar Passed nga ky audit.</s:t>
        </s:is>
      </s:c>
    </s:row>
    <s:row r="37" ht="72" customHeight="1" s="48">
      <s:c r="A37" s="42" t="inlineStr">
        <s:is>
          <s:t>S1-B06</s:t>
        </s:is>
      </s:c>
      <s:c r="B37" s="42" t="inlineStr">
        <s:is>
          <s:t>S1</s:t>
        </s:is>
      </s:c>
      <s:c r="C37" s="42" t="inlineStr">
        <s:is>
          <s:t>P0</s:t>
        </s:is>
      </s:c>
      <s:c r="D37" s="42" t="inlineStr">
        <s:is>
          <s:t>In Progress</s:t>
        </s:is>
      </s:c>
      <s:c r="E37" s="42" t="inlineStr">
        <s:is>
          <s:t>Pjesërisht — kërkon zhvillim</s:t>
        </s:is>
      </s:c>
      <s:c r="F37" s="42" t="inlineStr">
        <s:is>
          <s:t>Programmer B</s:t>
        </s:is>
      </s:c>
      <s:c r="G37" s="42" t="inlineStr">
        <s:is>
          <s:t>Programmer A</s:t>
        </s:is>
      </s:c>
      <s:c r="H37" s="42" t="inlineStr">
        <s:is>
          <s:t>Build Business Brain editor</s:t>
        </s:is>
      </s:c>
      <s:c r="I37" s="42" t="inlineStr">
        <s:is>
          <s:t>Nuk ka candidate accept/reject, confidence, oferta/guardrails/versioning dhe provë fact lifecycle.</s:t>
        </s:is>
      </s:c>
      <s:c r="J37" s="42" t="inlineStr">
        <s:is>
          <s:t>RG-06,RG-14</s:t>
        </s:is>
      </s:c>
      <s:c r="K37" s="42" t="inlineStr">
        <s:is>
          <s:t>Prova e kërkuar nga backlog-u: Component + E2E fact lifecycle
Kriteri për t'u verifikuar (nuk deklarohet i kaluar): User can verify/reject candidate fact, edit explicit fact, activate valid offer; source/confidence visible.
Pranimi kërkon edhe gate-et: RG-06,RG-14. Asnjë gate nuk është shënuar Passed nga ky audit.</s:t>
        </s:is>
      </s:c>
    </s:row>
    <s:row r="38" ht="72" customHeight="1" s="48">
      <s:c r="A38" s="42" t="inlineStr">
        <s:is>
          <s:t>S2-A01</s:t>
        </s:is>
      </s:c>
      <s:c r="B38" s="42" t="inlineStr">
        <s:is>
          <s:t>S2</s:t>
        </s:is>
      </s:c>
      <s:c r="C38" s="42" t="inlineStr">
        <s:is>
          <s:t>P0</s:t>
        </s:is>
      </s:c>
      <s:c r="D38" s="42" t="inlineStr">
        <s:is>
          <s:t>In Progress</s:t>
        </s:is>
      </s:c>
      <s:c r="E38" s="42" t="inlineStr">
        <s:is>
          <s:t>Pjesërisht — kërkon zhvillim</s:t>
        </s:is>
      </s:c>
      <s:c r="F38" s="42" t="inlineStr">
        <s:is>
          <s:t>Programmer A</s:t>
        </s:is>
      </s:c>
      <s:c r="G38" s="42" t="inlineStr">
        <s:is>
          <s:t>Programmer B</s:t>
        </s:is>
      </s:c>
      <s:c r="H38" s="42" t="inlineStr">
        <s:is>
          <s:t>Create gallery asset schema and signed upload API</s:t>
        </s:is>
      </s:c>
      <s:c r="I38" s="42" t="inlineStr">
        <s:is>
          <s:t>Mungojnë pending upload session, signed direct upload, object storage key dhe expiry/finalize contract.</s:t>
        </s:is>
      </s:c>
      <s:c r="J38" s="42" t="inlineStr">
        <s:is>
          <s:t>RG-05</s:t>
        </s:is>
      </s:c>
      <s:c r="K38" s="42" t="inlineStr">
        <s:is>
          <s:t>Prova e kërkuar nga backlog-u: API/RLS upload authorization tests
Kriteri për t'u verifikuar (nuk deklarohet i kaluar): Only authorized brand member can create upload; object key server-generated under org/brand; pending expires.
Pranimi kërkon edhe gate-et: RG-05. Asnjë gate nuk është shënuar Passed nga ky audit.</s:t>
        </s:is>
      </s:c>
    </s:row>
    <s:row r="39" ht="72" customHeight="1" s="48">
      <s:c r="A39" s="42" t="inlineStr">
        <s:is>
          <s:t>S2-A02</s:t>
        </s:is>
      </s:c>
      <s:c r="B39" s="42" t="inlineStr">
        <s:is>
          <s:t>S2</s:t>
        </s:is>
      </s:c>
      <s:c r="C39" s="42" t="inlineStr">
        <s:is>
          <s:t>P0</s:t>
        </s:is>
      </s:c>
      <s:c r="D39" s="42" t="inlineStr">
        <s:is>
          <s:t>In Progress</s:t>
        </s:is>
      </s:c>
      <s:c r="E39" s="42" t="inlineStr">
        <s:is>
          <s:t>Pjesërisht — kërkon zhvillim</s:t>
        </s:is>
      </s:c>
      <s:c r="F39" s="42" t="inlineStr">
        <s:is>
          <s:t>Programmer A</s:t>
        </s:is>
      </s:c>
      <s:c r="G39" s="42" t="inlineStr">
        <s:is>
          <s:t>Programmer B</s:t>
        </s:is>
      </s:c>
      <s:c r="H39" s="42" t="inlineStr">
        <s:is>
          <s:t>Implement upload finalize validation</s:t>
        </s:is>
      </s:c>
      <s:c r="I39" s="42" t="inlineStr">
        <s:is>
          <s:t>Mungojnë checksum/finalize session/state PROCESSING, replay-finalize dhe suite e plotë spoof/oversize.</s:t>
        </s:is>
      </s:c>
      <s:c r="J39" s="42" t="inlineStr">
        <s:is>
          <s:t>RG-05</s:t>
        </s:is>
      </s:c>
      <s:c r="K39" s="42" t="inlineStr">
        <s:is>
          <s:t>Prova e kërkuar nga backlog-u: Malicious/edge upload fixtures
Kriteri për t'u verifikuar (nuk deklarohet i kaluar): Extension spoof/oversize/non-image/reused finalize rejected; valid upload becomes PROCESSING.
Pranimi kërkon edhe gate-et: RG-05. Asnjë gate nuk është shënuar Passed nga ky audit.</s:t>
        </s:is>
      </s:c>
    </s:row>
    <s:row r="40" ht="72" customHeight="1" s="48">
      <s:c r="A40" s="42" t="inlineStr">
        <s:is>
          <s:t>S2-A03</s:t>
        </s:is>
      </s:c>
      <s:c r="B40" s="42" t="inlineStr">
        <s:is>
          <s:t>S2</s:t>
        </s:is>
      </s:c>
      <s:c r="C40" s="42" t="inlineStr">
        <s:is>
          <s:t>P0</s:t>
        </s:is>
      </s:c>
      <s:c r="D40" s="42" t="inlineStr">
        <s:is>
          <s:t>In Progress</s:t>
        </s:is>
      </s:c>
      <s:c r="E40" s="42" t="inlineStr">
        <s:is>
          <s:t>Pjesërisht — kërkon zhvillim</s:t>
        </s:is>
      </s:c>
      <s:c r="F40" s="42" t="inlineStr">
        <s:is>
          <s:t>Programmer A</s:t>
        </s:is>
      </s:c>
      <s:c r="G40" s="42" t="inlineStr">
        <s:is>
          <s:t>Programmer B</s:t>
        </s:is>
      </s:c>
      <s:c r="H40" s="42" t="inlineStr">
        <s:is>
          <s:t>Build image sanitize/variant worker</s:t>
        </s:is>
      </s:c>
      <s:c r="I40" s="42" t="inlineStr">
        <s:is>
          <s:t>Përpunimi është sinkron, pa variant worker, thumbnails/checksum/phash apo duplicate-job tests.</s:t>
        </s:is>
      </s:c>
      <s:c r="J40" s="42" t="inlineStr">
        <s:is>
          <s:t>RG-05</s:t>
        </s:is>
      </s:c>
      <s:c r="K40" s="42" t="inlineStr">
        <s:is>
          <s:t>Prova e kërkuar nga backlog-u: Worker fixtures + duplicate tests
Kriteri për t'u verifikuar (nuk deklarohet i kaluar): EXIF absent in derived image; duplicate worker delivery creates no duplicate variant; corrupted decode terminal.
Pranimi kërkon edhe gate-et: RG-05. Asnjë gate nuk është shënuar Passed nga ky audit.</s:t>
        </s:is>
      </s:c>
    </s:row>
    <s:row r="41" ht="72" customHeight="1" s="48">
      <s:c r="A41" s="42" t="inlineStr">
        <s:is>
          <s:t>S2-A04</s:t>
        </s:is>
      </s:c>
      <s:c r="B41" s="42" t="inlineStr">
        <s:is>
          <s:t>S2</s:t>
        </s:is>
      </s:c>
      <s:c r="C41" s="42" t="inlineStr">
        <s:is>
          <s:t>P0</s:t>
        </s:is>
      </s:c>
      <s:c r="D41" s="42" t="inlineStr">
        <s:is>
          <s:t>In Progress</s:t>
        </s:is>
      </s:c>
      <s:c r="E41" s="42" t="inlineStr">
        <s:is>
          <s:t>Pjesërisht — kërkon zhvillim</s:t>
        </s:is>
      </s:c>
      <s:c r="F41" s="42" t="inlineStr">
        <s:is>
          <s:t>Programmer A</s:t>
        </s:is>
      </s:c>
      <s:c r="G41" s="42" t="inlineStr">
        <s:is>
          <s:t>Programmer B</s:t>
        </s:is>
      </s:c>
      <s:c r="H41" s="42" t="inlineStr">
        <s:is>
          <s:t>Define Meta provider ports and capability model</s:t>
        </s:is>
      </s:c>
      <s:c r="I41" s="42" t="inlineStr">
        <s:is>
          <s:t>Port-e provider-neutral SocialReader/Publisher/OAuth dhe taxonomy/capability matrix të plota mungojnë.</s:t>
        </s:is>
      </s:c>
      <s:c r="J41" s="42" t="inlineStr">
        <s:is>
          <s:t>RG-04</s:t>
        </s:is>
      </s:c>
      <s:c r="K41" s="42" t="inlineStr">
        <s:is>
          <s:t>Prova e kërkuar nga backlog-u: Adapter contract unit tests
Kriteri për t'u verifikuar (nuk deklarohet i kaluar): Domain/application code imports no Meta SDK types; fixtures map expected capabilities/errors.
Pranimi kërkon edhe gate-et: RG-04. Asnjë gate nuk është shënuar Passed nga ky audit.</s:t>
        </s:is>
      </s:c>
    </s:row>
    <s:row r="42" ht="72" customHeight="1" s="48">
      <s:c r="A42" s="42" t="inlineStr">
        <s:is>
          <s:t>S2-A05</s:t>
        </s:is>
      </s:c>
      <s:c r="B42" s="42" t="inlineStr">
        <s:is>
          <s:t>S2</s:t>
        </s:is>
      </s:c>
      <s:c r="C42" s="42" t="inlineStr">
        <s:is>
          <s:t>P0</s:t>
        </s:is>
      </s:c>
      <s:c r="D42" s="42" t="inlineStr">
        <s:is>
          <s:t>In Progress</s:t>
        </s:is>
      </s:c>
      <s:c r="E42" s="42" t="inlineStr">
        <s:is>
          <s:t>Pjesërisht — kërkon zhvillim</s:t>
        </s:is>
      </s:c>
      <s:c r="F42" s="42" t="inlineStr">
        <s:is>
          <s:t>Programmer A</s:t>
        </s:is>
      </s:c>
      <s:c r="G42" s="42" t="inlineStr">
        <s:is>
          <s:t>Programmer B</s:t>
        </s:is>
      </s:c>
      <s:c r="H42" s="42" t="inlineStr">
        <s:is>
          <s:t>Implement Meta OAuth initiation/callback and token vault</s:t>
        </s:is>
      </s:c>
      <s:c r="I42" s="42" t="inlineStr">
        <s:is>
          <s:t>Duhet suite për state replay/mismatch/expiry dhe test i vërtetë OAuth. Kredencialet e Meta App mungojnë; token-version/reconnect contracts duhen përfunduar.</s:t>
        </s:is>
      </s:c>
      <s:c r="J42" s="42" t="inlineStr">
        <s:is>
          <s:t>RG-04</s:t>
        </s:is>
      </s:c>
      <s:c r="K42" s="42" t="inlineStr">
        <s:is>
          <s:t>Prova e kërkuar nga backlog-u: OAuth integration fixtures + security tests
Kriteri për t'u verifikuar (nuk deklarohet i kaluar): State replay/expiry/mismatch rejected; plaintext token absent from DB/log; reconnect updates credential version.
Pranimi kërkon edhe gate-et: RG-04. Asnjë gate nuk është shënuar Passed nga ky audit.</s:t>
        </s:is>
      </s:c>
    </s:row>
    <s:row r="43" ht="72" customHeight="1" s="48">
      <s:c r="A43" s="42" t="inlineStr">
        <s:is>
          <s:t>S2-A06</s:t>
        </s:is>
      </s:c>
      <s:c r="B43" s="42" t="inlineStr">
        <s:is>
          <s:t>S2</s:t>
        </s:is>
      </s:c>
      <s:c r="C43" s="42" t="inlineStr">
        <s:is>
          <s:t>P0</s:t>
        </s:is>
      </s:c>
      <s:c r="D43" s="42" t="inlineStr">
        <s:is>
          <s:t>In Progress</s:t>
        </s:is>
      </s:c>
      <s:c r="E43" s="42" t="inlineStr">
        <s:is>
          <s:t>Pjesërisht — kërkon zhvillim</s:t>
        </s:is>
      </s:c>
      <s:c r="F43" s="42" t="inlineStr">
        <s:is>
          <s:t>Programmer A</s:t>
        </s:is>
      </s:c>
      <s:c r="G43" s="42" t="inlineStr">
        <s:is>
          <s:t>Programmer B</s:t>
        </s:is>
      </s:c>
      <s:c r="H43" s="42" t="inlineStr">
        <s:is>
          <s:t>Discover/select social accounts and capabilities</s:t>
        </s:is>
      </s:c>
      <s:c r="I43" s="42" t="inlineStr">
        <s:is>
          <s:t>Nuk është provuar me llogari Meta reale; duhen capability/error fixtures, degraded/unsupported states dhe refresh i scopes.</s:t>
        </s:is>
      </s:c>
      <s:c r="J43" s="42" t="inlineStr">
        <s:is>
          <s:t>RG-04</s:t>
        </s:is>
      </s:c>
      <s:c r="K43" s="42" t="inlineStr">
        <s:is>
          <s:t>Prova e kërkuar nga backlog-u: Meta test account/fixture tests
Kriteri për t'u verifikuar (nuk deklarohet i kaluar): Consumer/unsupported account receives guided typed reason; account external ID unique; capability degradation visible.
Pranimi kërkon edhe gate-et: RG-04. Asnjë gate nuk është shënuar Passed nga ky audit.</s:t>
        </s:is>
      </s:c>
    </s:row>
    <s:row r="44" ht="72" customHeight="1" s="48">
      <s:c r="A44" s="42" t="inlineStr">
        <s:is>
          <s:t>S2-A07</s:t>
        </s:is>
      </s:c>
      <s:c r="B44" s="42" t="inlineStr">
        <s:is>
          <s:t>S2</s:t>
        </s:is>
      </s:c>
      <s:c r="C44" s="42" t="inlineStr">
        <s:is>
          <s:t>P0</s:t>
        </s:is>
      </s:c>
      <s:c r="D44" s="42" t="inlineStr">
        <s:is>
          <s:t>In Progress</s:t>
        </s:is>
      </s:c>
      <s:c r="E44" s="42" t="inlineStr">
        <s:is>
          <s:t>Pjesërisht — kërkon zhvillim</s:t>
        </s:is>
      </s:c>
      <s:c r="F44" s="42" t="inlineStr">
        <s:is>
          <s:t>Programmer A</s:t>
        </s:is>
      </s:c>
      <s:c r="G44" s="42" t="inlineStr">
        <s:is>
          <s:t>Programmer B</s:t>
        </s:is>
      </s:c>
      <s:c r="H44" s="42" t="inlineStr">
        <s:is>
          <s:t>Implement incremental post/profile sync</s:t>
        </s:is>
      </s:c>
      <s:c r="I44" s="42" t="inlineStr">
        <s:is>
          <s:t>Mbeten durable incremental worker, checkpoint/cursor i ruajtur, crash resume, revoked-auth taxonomy, inference dhe test live Meta.</s:t>
        </s:is>
      </s:c>
      <s:c r="J44" s="42" t="inlineStr">
        <s:is>
          <s:t>RG-04</s:t>
        </s:is>
      </s:c>
      <s:c r="K44" s="42" t="inlineStr">
        <s:is>
          <s:t>Prova e kërkuar nga backlog-u: Crash/resume + fixture tests
Kriteri për t'u verifikuar (nuk deklarohet i kaluar): Resume after crash from checkpoint; duplicate external IDs not duplicated; revoked auth classified.
DA-05: Import nga faqja A, lidh faqen B, import i ri: lista dhe konteksti i B përmbajnë vetëm burimet e zgjedhura, me provenance të ruajtur.
Pranimi kërkon edhe gate-et: RG-04. Asnjë gate nuk është shënuar Passed nga ky audit.</s:t>
        </s:is>
      </s:c>
    </s:row>
    <s:row r="45" ht="72" customHeight="1" s="48">
      <s:c r="A45" s="42" t="inlineStr">
        <s:is>
          <s:t>S2-B01</s:t>
        </s:is>
      </s:c>
      <s:c r="B45" s="42" t="inlineStr">
        <s:is>
          <s:t>S2</s:t>
        </s:is>
      </s:c>
      <s:c r="C45" s="42" t="inlineStr">
        <s:is>
          <s:t>P0</s:t>
        </s:is>
      </s:c>
      <s:c r="D45" s="42" t="inlineStr">
        <s:is>
          <s:t>In Progress</s:t>
        </s:is>
      </s:c>
      <s:c r="E45" s="42" t="inlineStr">
        <s:is>
          <s:t>Pjesërisht — kërkon zhvillim</s:t>
        </s:is>
      </s:c>
      <s:c r="F45" s="42" t="inlineStr">
        <s:is>
          <s:t>Programmer B</s:t>
        </s:is>
      </s:c>
      <s:c r="G45" s="42" t="inlineStr">
        <s:is>
          <s:t>Programmer A</s:t>
        </s:is>
      </s:c>
      <s:c r="H45" s="42" t="inlineStr">
        <s:is>
          <s:t>Build gallery list/grid/search filters</s:t>
        </s:is>
      </s:c>
      <s:c r="I45" s="42" t="inlineStr">
        <s:is>
          <s:t>Ngarkohen të gjitha asset-et e workspace në klient; mungojnë cursor API/type-status-orientation filters dhe provë 500+ asset. 2.</s:t>
        </s:is>
      </s:c>
      <s:c r="J45" s="42" t="inlineStr">
        <s:is>
          <s:t>RG-14</s:t>
        </s:is>
      </s:c>
      <s:c r="K45" s="42" t="inlineStr">
        <s:is>
          <s:t>Prova e kërkuar nga backlog-u: Component + E2E gallery tests
Kriteri për t'u verifikuar (nuk deklarohet i kaluar): Works with 500+ fixture assets without DOM explosion; keyboard selectable; cursor pagination.
DA-09: Fixture 500+ asset dhe 1000 postime: mat bytes/p95/memorien; filtër/cursor nuk kalon tenant-in dhe ndryshimi i një postimi nuk rishkruan gjithë listën.
Pranimi kërkon edhe gate-et: RG-14. Asnjë gate nuk është shënuar Passed nga ky audit.</s:t>
        </s:is>
      </s:c>
    </s:row>
    <s:row r="46" ht="72" customHeight="1" s="48">
      <s:c r="A46" s="42" t="inlineStr">
        <s:is>
          <s:t>S2-B02</s:t>
        </s:is>
      </s:c>
      <s:c r="B46" s="42" t="inlineStr">
        <s:is>
          <s:t>S2</s:t>
        </s:is>
      </s:c>
      <s:c r="C46" s="42" t="inlineStr">
        <s:is>
          <s:t>P0</s:t>
        </s:is>
      </s:c>
      <s:c r="D46" s="42" t="inlineStr">
        <s:is>
          <s:t>In Progress</s:t>
        </s:is>
      </s:c>
      <s:c r="E46" s="42" t="inlineStr">
        <s:is>
          <s:t>Pjesërisht — kërkon zhvillim</s:t>
        </s:is>
      </s:c>
      <s:c r="F46" s="42" t="inlineStr">
        <s:is>
          <s:t>Programmer B</s:t>
        </s:is>
      </s:c>
      <s:c r="G46" s="42" t="inlineStr">
        <s:is>
          <s:t>Programmer A</s:t>
        </s:is>
      </s:c>
      <s:c r="H46" s="42" t="inlineStr">
        <s:is>
          <s:t>Build direct upload experience</s:t>
        </s:is>
      </s:c>
      <s:c r="I46" s="42" t="inlineStr">
        <s:is>
          <s:t>Nuk është signed direct upload; mungojnë cancel/retry të pavarura, finalize polling dhe recovery i punëve processing.</s:t>
        </s:is>
      </s:c>
      <s:c r="J46" s="42" t="inlineStr">
        <s:is>
          <s:t>RG-05,RG-14</s:t>
        </s:is>
      </s:c>
      <s:c r="K46" s="42" t="inlineStr">
        <s:is>
          <s:t>Prova e kërkuar nga backlog-u: E2E upload valid/invalid/mobile
Kriteri për t'u verifikuar (nuk deklarohet i kaluar): Multiple upload progress independent; failed finalize explains safe reason; refresh recovers processing state.
Pranimi kërkon edhe gate-et: RG-05,RG-14. Asnjë gate nuk është shënuar Passed nga ky audit.</s:t>
        </s:is>
      </s:c>
    </s:row>
    <s:row r="47" ht="72" customHeight="1" s="48">
      <s:c r="A47" s="42" t="inlineStr">
        <s:is>
          <s:t>S2-B04</s:t>
        </s:is>
      </s:c>
      <s:c r="B47" s="42" t="inlineStr">
        <s:is>
          <s:t>S2</s:t>
        </s:is>
      </s:c>
      <s:c r="C47" s="42" t="inlineStr">
        <s:is>
          <s:t>P0</s:t>
        </s:is>
      </s:c>
      <s:c r="D47" s="42" t="inlineStr">
        <s:is>
          <s:t>In Progress</s:t>
        </s:is>
      </s:c>
      <s:c r="E47" s="42" t="inlineStr">
        <s:is>
          <s:t>Pjesërisht — kërkon zhvillim</s:t>
        </s:is>
      </s:c>
      <s:c r="F47" s="42" t="inlineStr">
        <s:is>
          <s:t>Programmer B</s:t>
        </s:is>
      </s:c>
      <s:c r="G47" s="42" t="inlineStr">
        <s:is>
          <s:t>Programmer A</s:t>
        </s:is>
      </s:c>
      <s:c r="H47" s="42" t="inlineStr">
        <s:is>
          <s:t>Build visual identity editor</s:t>
        </s:is>
      </s:c>
      <s:c r="I47" s="42" t="inlineStr">
        <s:is>
          <s:t>Logo e biznesit me asset ID, typografi/layout preferences dhe validation/preview e identitetit të plotë mungojnë. Logo e platformës nuk mbyll task-un e logos së klientit.</s:t>
        </s:is>
      </s:c>
      <s:c r="J47" s="42" t="inlineStr">
        <s:is>
          <s:t>RG-06</s:t>
        </s:is>
      </s:c>
      <s:c r="K47" s="42" t="inlineStr">
        <s:is>
          <s:t>Prova e kërkuar nga backlog-u: Component/E2E visual settings
Kriteri për t'u verifikuar (nuk deklarohet i kaluar): Invalid colors/assets rejected; preview updates; exact logo asset ID saved, not copied URL.
Pranimi kërkon edhe gate-et: RG-06. Asnjë gate nuk është shënuar Passed nga ky audit.</s:t>
        </s:is>
      </s:c>
    </s:row>
    <s:row r="48" ht="72" customHeight="1" s="48">
      <s:c r="A48" s="42" t="inlineStr">
        <s:is>
          <s:t>S2-B05</s:t>
        </s:is>
      </s:c>
      <s:c r="B48" s="42" t="inlineStr">
        <s:is>
          <s:t>S2</s:t>
        </s:is>
      </s:c>
      <s:c r="C48" s="42" t="inlineStr">
        <s:is>
          <s:t>P0</s:t>
        </s:is>
      </s:c>
      <s:c r="D48" s="42" t="inlineStr">
        <s:is>
          <s:t>In Progress</s:t>
        </s:is>
      </s:c>
      <s:c r="E48" s="42" t="inlineStr">
        <s:is>
          <s:t>Pjesërisht — kërkon zhvillim</s:t>
        </s:is>
      </s:c>
      <s:c r="F48" s="42" t="inlineStr">
        <s:is>
          <s:t>Programmer B</s:t>
        </s:is>
      </s:c>
      <s:c r="G48" s="42" t="inlineStr">
        <s:is>
          <s:t>Programmer A</s:t>
        </s:is>
      </s:c>
      <s:c r="H48" s="42" t="inlineStr">
        <s:is>
          <s:t>Build Meta connect flow</s:t>
        </s:is>
      </s:c>
      <s:c r="I48" s="42" t="inlineStr">
        <s:is>
          <s:t>Mungojnë prova mocked OAuth/cancellation/unsupported cases dhe staging me kredenciale reale Meta.</s:t>
        </s:is>
      </s:c>
      <s:c r="J48" s="42" t="inlineStr">
        <s:is>
          <s:t>RG-04</s:t>
        </s:is>
      </s:c>
      <s:c r="K48" s="42" t="inlineStr">
        <s:is>
          <s:t>Prova e kërkuar nga backlog-u: E2E mocked OAuth + staging manual
Kriteri për t'u verifikuar (nuk deklarohet i kaluar): Connection result survives refresh; OAuth cancellation/rejection handled; no provider token reaches UI.
Pranimi kërkon edhe gate-et: RG-04. Asnjë gate nuk është shënuar Passed nga ky audit.</s:t>
        </s:is>
      </s:c>
    </s:row>
    <s:row r="49" ht="72" customHeight="1" s="48">
      <s:c r="A49" s="42" t="inlineStr">
        <s:is>
          <s:t>S2-B06</s:t>
        </s:is>
      </s:c>
      <s:c r="B49" s="42" t="inlineStr">
        <s:is>
          <s:t>S2</s:t>
        </s:is>
      </s:c>
      <s:c r="C49" s="42" t="inlineStr">
        <s:is>
          <s:t>P0</s:t>
        </s:is>
      </s:c>
      <s:c r="D49" s="42" t="inlineStr">
        <s:is>
          <s:t>In Progress</s:t>
        </s:is>
      </s:c>
      <s:c r="E49" s="42" t="inlineStr">
        <s:is>
          <s:t>Pjesërisht — kërkon zhvillim</s:t>
        </s:is>
      </s:c>
      <s:c r="F49" s="42" t="inlineStr">
        <s:is>
          <s:t>Programmer B</s:t>
        </s:is>
      </s:c>
      <s:c r="G49" s="42" t="inlineStr">
        <s:is>
          <s:t>Programmer A</s:t>
        </s:is>
      </s:c>
      <s:c r="H49" s="42" t="inlineStr">
        <s:is>
          <s:t>Build account selection and capability health</s:t>
        </s:is>
      </s:c>
      <s:c r="I49" s="42" t="inlineStr">
        <s:is>
          <s:t>Mbeten capability matrix për missing scopes/expired/revoked/unsupported, permission reauth dhe E2E me Meta staging.</s:t>
        </s:is>
      </s:c>
      <s:c r="J49" s="42" t="inlineStr">
        <s:is>
          <s:t>RG-04</s:t>
        </s:is>
      </s:c>
      <s:c r="K49" s="42" t="inlineStr">
        <s:is>
          <s:t>Prova e kërkuar nga backlog-u: E2E capability cases
Kriteri për t'u verifikuar (nuk deklarohet i kaluar): Unsupported/missing scope state actionable; assignment cannot cross organization.
DA-05: Import nga faqja A, lidh faqen B, import i ri: lista dhe konteksti i B përmbajnë vetëm burimet e zgjedhura, me provenance të ruajtur.
Pranimi kërkon edhe gate-et: RG-04. Asnjë gate nuk është shënuar Passed nga ky audit.</s:t>
        </s:is>
      </s:c>
    </s:row>
    <s:row r="50" ht="72" customHeight="1" s="48">
      <s:c r="A50" s="42" t="inlineStr">
        <s:is>
          <s:t>S2-B08</s:t>
        </s:is>
      </s:c>
      <s:c r="B50" s="42" t="inlineStr">
        <s:is>
          <s:t>S2</s:t>
        </s:is>
      </s:c>
      <s:c r="C50" s="42" t="inlineStr">
        <s:is>
          <s:t>P0</s:t>
        </s:is>
      </s:c>
      <s:c r="D50" s="42" t="inlineStr">
        <s:is>
          <s:t>In Progress</s:t>
        </s:is>
      </s:c>
      <s:c r="E50" s="42" t="inlineStr">
        <s:is>
          <s:t>Pjesërisht — kërkon zhvillim</s:t>
        </s:is>
      </s:c>
      <s:c r="F50" s="42" t="inlineStr">
        <s:is>
          <s:t>Programmer B</s:t>
        </s:is>
      </s:c>
      <s:c r="G50" s="42" t="inlineStr">
        <s:is>
          <s:t>Programmer A</s:t>
        </s:is>
      </s:c>
      <s:c r="H50" s="42" t="inlineStr">
        <s:is>
          <s:t>Build reconnect/disconnect workflow</s:t>
        </s:is>
      </s:c>
      <s:c r="I50" s="42" t="inlineStr">
        <s:is>
          <s:t>Mbeten real revoke/reconnect dhe test me punë automatike aktive. Kriteri është përshtatur: Meta opsionale, kalendari nuk fshihet. 2.</s:t>
        </s:is>
      </s:c>
      <s:c r="J50" s="42" t="inlineStr">
        <s:is>
          <s:t>RG-04</s:t>
        </s:is>
      </s:c>
      <s:c r="K50" s="42" t="inlineStr">
        <s:is>
          <s:t>Prova e kërkuar nga backlog-u: E2E revoke/reconnect
Kriteri për t'u verifikuar (nuk deklarohet i kaluar): Disconnect is owner-authorized and cannot interrupt a processing publication. Manual calendar entries and approvals remain available without Meta. Pending automatic work is cancelled; uncertain outcomes are not silently retried or represented as unsent. Reconnect never enables automatic publication for manual entries. Real revoke/reconnect scenarios are tested.
DA-04: Timeout pas efektit të jashtëm → uncertain → disconnect → verifikim rezultati → reconnect; ruaj identitetin e target-it dhe mos dyfisho.
Pranimi kërkon edhe gate-et: RG-04. Asnjë gate nuk është shënuar Passed nga ky audit.</s:t>
        </s:is>
      </s:c>
    </s:row>
    <s:row r="51" ht="72" customHeight="1" s="48">
      <s:c r="A51" s="42" t="inlineStr">
        <s:is>
          <s:t>S3-A01</s:t>
        </s:is>
      </s:c>
      <s:c r="B51" s="42" t="inlineStr">
        <s:is>
          <s:t>S3</s:t>
        </s:is>
      </s:c>
      <s:c r="C51" s="42" t="inlineStr">
        <s:is>
          <s:t>P0</s:t>
        </s:is>
      </s:c>
      <s:c r="D51" s="42" t="inlineStr">
        <s:is>
          <s:t>In Progress</s:t>
        </s:is>
      </s:c>
      <s:c r="E51" s="42" t="inlineStr">
        <s:is>
          <s:t>Pjesërisht — kërkon zhvillim</s:t>
        </s:is>
      </s:c>
      <s:c r="F51" s="42" t="inlineStr">
        <s:is>
          <s:t>Programmer A</s:t>
        </s:is>
      </s:c>
      <s:c r="G51" s="42" t="inlineStr">
        <s:is>
          <s:t>Programmer B</s:t>
        </s:is>
      </s:c>
      <s:c r="H51" s="42" t="inlineStr">
        <s:is>
          <s:t>Implement AI provider gateway and capability routing</s:t>
        </s:is>
      </s:c>
      <s:c r="I51" s="42" t="inlineStr">
        <s:is>
          <s:t>Nuk ka capability gateway/provider-neutral ports/image adapter apo routing/retry contract tests. OPENAI_API_KEY/OPENAI_MODEL mungojnë, ndaj gjenerimi live nuk është verifikuar.</s:t>
        </s:is>
      </s:c>
      <s:c r="J51" s="42" t="inlineStr">
        <s:is>
          <s:t>RG-06</s:t>
        </s:is>
      </s:c>
      <s:c r="K51" s="42" t="inlineStr">
        <s:is>
          <s:t>Prova e kërkuar nga backlog-u: Adapter contract + timeout tests
Kriteri për t'u verifikuar (nuk deklarohet i kaluar): Application code requests capability not model name; route config can change without domain change; provider errors normalized.
Pranimi kërkon edhe gate-et: RG-06. Asnjë gate nuk është shënuar Passed nga ky audit.</s:t>
        </s:is>
      </s:c>
    </s:row>
    <s:row r="52" ht="72" customHeight="1" s="48">
      <s:c r="A52" s="42" t="inlineStr">
        <s:is>
          <s:t>S3-A03</s:t>
        </s:is>
      </s:c>
      <s:c r="B52" s="42" t="inlineStr">
        <s:is>
          <s:t>S3</s:t>
        </s:is>
      </s:c>
      <s:c r="C52" s="42" t="inlineStr">
        <s:is>
          <s:t>P0</s:t>
        </s:is>
      </s:c>
      <s:c r="D52" s="42" t="inlineStr">
        <s:is>
          <s:t>In Progress</s:t>
        </s:is>
      </s:c>
      <s:c r="E52" s="42" t="inlineStr">
        <s:is>
          <s:t>Pjesërisht — kërkon zhvillim</s:t>
        </s:is>
      </s:c>
      <s:c r="F52" s="42" t="inlineStr">
        <s:is>
          <s:t>Programmer A</s:t>
        </s:is>
      </s:c>
      <s:c r="G52" s="42" t="inlineStr">
        <s:is>
          <s:t>Programmer B</s:t>
        </s:is>
      </s:c>
      <s:c r="H52" s="42" t="inlineStr">
        <s:is>
          <s:t>Define strict structured output schemas</s:t>
        </s:is>
      </s:c>
      <s:c r="I52" s="42" t="inlineStr">
        <s:is>
          <s:t>Nuk ka kontrata për inference/strategy/brief/QA, bounded repair ose fuzz fixtures; Pydantic nuk përdoret në backend-in aktual.</s:t>
        </s:is>
      </s:c>
      <s:c r="J52" s="42" t="inlineStr">
        <s:is>
          <s:t>RG-06</s:t>
        </s:is>
      </s:c>
      <s:c r="K52" s="42" t="inlineStr">
        <s:is>
          <s:t>Prova e kërkuar nga backlog-u: Schema fuzz/fixture tests
Kriteri për t'u verifikuar (nuk deklarohet i kaluar): Malformed/extra/missing critical fields fail validation; bounded repair stops after configured attempts with typed error.
Pranimi kërkon edhe gate-et: RG-06. Asnjë gate nuk është shënuar Passed nga ky audit.</s:t>
        </s:is>
      </s:c>
    </s:row>
    <s:row r="53" ht="72" customHeight="1" s="48">
      <s:c r="A53" s="42" t="inlineStr">
        <s:is>
          <s:t>S3-A05</s:t>
        </s:is>
      </s:c>
      <s:c r="B53" s="42" t="inlineStr">
        <s:is>
          <s:t>S3</s:t>
        </s:is>
      </s:c>
      <s:c r="C53" s="42" t="inlineStr">
        <s:is>
          <s:t>P0</s:t>
        </s:is>
      </s:c>
      <s:c r="D53" s="42" t="inlineStr">
        <s:is>
          <s:t>In Progress</s:t>
        </s:is>
      </s:c>
      <s:c r="E53" s="42" t="inlineStr">
        <s:is>
          <s:t>Pjesërisht — kërkon zhvillim</s:t>
        </s:is>
      </s:c>
      <s:c r="F53" s="42" t="inlineStr">
        <s:is>
          <s:t>Programmer A</s:t>
        </s:is>
      </s:c>
      <s:c r="G53" s="42" t="inlineStr">
        <s:is>
          <s:t>Programmer B</s:t>
        </s:is>
      </s:c>
      <s:c r="H53" s="42" t="inlineStr">
        <s:is>
          <s:t>Build immutable evidence pack compiler</s:t>
        </s:is>
      </s:c>
      <s:c r="I53" s="42" t="inlineStr">
        <s:is>
          <s:t>Mbetet evidence pack immutable me IDs, hashes, voice/offer validity, size limits dhe inclusion/exclusion suite.</s:t>
        </s:is>
      </s:c>
      <s:c r="J53" s="42" t="inlineStr">
        <s:is>
          <s:t>RG-06</s:t>
        </s:is>
      </s:c>
      <s:c r="K53" s="42" t="inlineStr">
        <s:is>
          <s:t>Prova e kërkuar nga backlog-u: Evidence inclusion/exclusion tests
Kriteri për t'u verifikuar (nuk deklarohet i kaluar): Every generation records evidence IDs/hash; expired/unverified offer excluded; pack size limits enforced.
DA-05: Import nga faqja A, lidh faqen B, import i ri: lista dhe konteksti i B përmbajnë vetëm burimet e zgjedhura, me provenance të ruajtur.
Pranimi kërkon edhe gate-et: RG-06. Asnjë gate nuk është shënuar Passed nga ky audit.</s:t>
        </s:is>
      </s:c>
    </s:row>
    <s:row r="54" ht="72" customHeight="1" s="48">
      <s:c r="A54" s="42" t="inlineStr">
        <s:is>
          <s:t>S3-A08</s:t>
        </s:is>
      </s:c>
      <s:c r="B54" s="42" t="inlineStr">
        <s:is>
          <s:t>S3</s:t>
        </s:is>
      </s:c>
      <s:c r="C54" s="42" t="inlineStr">
        <s:is>
          <s:t>P0</s:t>
        </s:is>
      </s:c>
      <s:c r="D54" s="42" t="inlineStr">
        <s:is>
          <s:t>In Progress</s:t>
        </s:is>
      </s:c>
      <s:c r="E54" s="42" t="inlineStr">
        <s:is>
          <s:t>Pjesërisht — kërkon zhvillim</s:t>
        </s:is>
      </s:c>
      <s:c r="F54" s="42" t="inlineStr">
        <s:is>
          <s:t>Programmer A</s:t>
        </s:is>
      </s:c>
      <s:c r="G54" s="42" t="inlineStr">
        <s:is>
          <s:t>Programmer B</s:t>
        </s:is>
      </s:c>
      <s:c r="H54" s="42" t="inlineStr">
        <s:is>
          <s:t>Implement content generation workflow</s:t>
        </s:is>
      </s:c>
      <s:c r="I54" s="42" t="inlineStr">
        <s:is>
          <s:t>Kërkesa HTTP pret provider-in; mungon durable multi-stage workflow/resume/worker dhe references prompt/evidence. Nuk është implementuar pipeline strategy→brief→QA.</s:t>
        </s:is>
      </s:c>
      <s:c r="J54" s="42" t="inlineStr">
        <s:is>
          <s:t>RG-06</s:t>
        </s:is>
      </s:c>
      <s:c r="K54" s="42" t="inlineStr">
        <s:is>
          <s:t>Prova e kërkuar nga backlog-u: Worker crash/retry/integration tests
Kriteri për t'u verifikuar (nuk deklarohet i kaluar): HTTP returns accepted job; worker retry does not duplicate content version; failed stage exposes typed reason; successful output references prompt/evidence.
Pranimi kërkon edhe gate-et: RG-06. Asnjë gate nuk është shënuar Passed nga ky audit.</s:t>
        </s:is>
      </s:c>
    </s:row>
    <s:row r="55" ht="72" customHeight="1" s="48">
      <s:c r="A55" s="42" t="inlineStr">
        <s:is>
          <s:t>S3-B01</s:t>
        </s:is>
      </s:c>
      <s:c r="B55" s="42" t="inlineStr">
        <s:is>
          <s:t>S3</s:t>
        </s:is>
      </s:c>
      <s:c r="C55" s="42" t="inlineStr">
        <s:is>
          <s:t>P0</s:t>
        </s:is>
      </s:c>
      <s:c r="D55" s="42" t="inlineStr">
        <s:is>
          <s:t>In Progress</s:t>
        </s:is>
      </s:c>
      <s:c r="E55" s="42" t="inlineStr">
        <s:is>
          <s:t>Pjesërisht — kërkon zhvillim</s:t>
        </s:is>
      </s:c>
      <s:c r="F55" s="42" t="inlineStr">
        <s:is>
          <s:t>Programmer B</s:t>
        </s:is>
      </s:c>
      <s:c r="G55" s="42" t="inlineStr">
        <s:is>
          <s:t>Programmer A</s:t>
        </s:is>
      </s:c>
      <s:c r="H55" s="42" t="inlineStr">
        <s:is>
          <s:t>Build Content Studio list/workspace</s:t>
        </s:is>
      </s:c>
      <s:c r="I55" s="42" t="inlineStr">
        <s:is>
          <s:t>Workspace i plotë vjen në klient; server pagination/cursor dhe prova shkallëzimi/filter persistence mungojnë. 2.</s:t>
        </s:is>
      </s:c>
      <s:c r="J55" s="42" t="inlineStr">
        <s:is>
          <s:t>RG-14</s:t>
        </s:is>
      </s:c>
      <s:c r="K55" s="42" t="inlineStr">
        <s:is>
          <s:t>Prova e kërkuar nga backlog-u: Component + E2E navigation
Kriteri për t'u verifikuar (nuk deklarohet i kaluar): List/grid remains responsive and accessible; filters shareable/persistent as specified; no unbounded client fetch.
DA-09: Fixture 500+ asset dhe 1000 postime: mat bytes/p95/memorien; filtër/cursor nuk kalon tenant-in dhe ndryshimi i një postimi nuk rishkruan gjithë listën.
DA-17: Rerun live.spec.ts: 4/4 desktop/mobile, përfshirë pagination dhe axe në 7 faqe dashboard-i.
Pranimi kërkon edhe gate-et: RG-14. Asnjë gate nuk është shënuar Passed nga ky audit.</s:t>
        </s:is>
      </s:c>
    </s:row>
    <s:row r="56" ht="72" customHeight="1" s="48">
      <s:c r="A56" s="42" t="inlineStr">
        <s:is>
          <s:t>S3-B03</s:t>
        </s:is>
      </s:c>
      <s:c r="B56" s="42" t="inlineStr">
        <s:is>
          <s:t>S3</s:t>
        </s:is>
      </s:c>
      <s:c r="C56" s="42" t="inlineStr">
        <s:is>
          <s:t>P0</s:t>
        </s:is>
      </s:c>
      <s:c r="D56" s="42" t="inlineStr">
        <s:is>
          <s:t>In Progress</s:t>
        </s:is>
      </s:c>
      <s:c r="E56" s="42" t="inlineStr">
        <s:is>
          <s:t>Pjesërisht — kërkon zhvillim</s:t>
        </s:is>
      </s:c>
      <s:c r="F56" s="42" t="inlineStr">
        <s:is>
          <s:t>Programmer B</s:t>
        </s:is>
      </s:c>
      <s:c r="G56" s="42" t="inlineStr">
        <s:is>
          <s:t>Programmer A</s:t>
        </s:is>
      </s:c>
      <s:c r="H56" s="42" t="inlineStr">
        <s:is>
          <s:t>Build generation request wizard</s:t>
        </s:is>
      </s:c>
      <s:c r="I56" s="42" t="inlineStr">
        <s:is>
          <s:t>Mungon wizard goal/tone/asset/credit estimate, durable job link dhe double-submit/generation staging tests.</s:t>
        </s:is>
      </s:c>
      <s:c r="J56" s="42" t="inlineStr">
        <s:is>
          <s:t>RG-06,RG-08</s:t>
        </s:is>
      </s:c>
      <s:c r="K56" s="42" t="inlineStr">
        <s:is>
          <s:t>Prova e kërkuar nga backlog-u: E2E generation submit/double-click
Kriteri për t'u verifikuar (nuk deklarohet i kaluar): Invalid/missing verified prerequisites explained; submit is idempotent against double click; job link returned.
Pranimi kërkon edhe gate-et: RG-06,RG-08. Asnjë gate nuk është shënuar Passed nga ky audit.</s:t>
        </s:is>
      </s:c>
    </s:row>
    <s:row r="57" ht="72" customHeight="1" s="48">
      <s:c r="A57" s="42" t="inlineStr">
        <s:is>
          <s:t>S3-B04</s:t>
        </s:is>
      </s:c>
      <s:c r="B57" s="42" t="inlineStr">
        <s:is>
          <s:t>S3</s:t>
        </s:is>
      </s:c>
      <s:c r="C57" s="42" t="inlineStr">
        <s:is>
          <s:t>P0</s:t>
        </s:is>
      </s:c>
      <s:c r="D57" s="42" t="inlineStr">
        <s:is>
          <s:t>In Progress</s:t>
        </s:is>
      </s:c>
      <s:c r="E57" s="42" t="inlineStr">
        <s:is>
          <s:t>Pjesërisht — kërkon zhvillim</s:t>
        </s:is>
      </s:c>
      <s:c r="F57" s="42" t="inlineStr">
        <s:is>
          <s:t>Programmer B</s:t>
        </s:is>
      </s:c>
      <s:c r="G57" s="42" t="inlineStr">
        <s:is>
          <s:t>Programmer A</s:t>
        </s:is>
      </s:c>
      <s:c r="H57" s="42" t="inlineStr">
        <s:is>
          <s:t>Build durable generation status experience</s:t>
        </s:is>
      </s:c>
      <s:c r="I57" s="42" t="inlineStr">
        <s:is>
          <s:t>Nuk ka endpoint/polling durable job/status sipas stage dhe resume pas refresh.</s:t>
        </s:is>
      </s:c>
      <s:c r="J57" s="42" t="inlineStr">
        <s:is>
          <s:t>RG-14</s:t>
        </s:is>
      </s:c>
      <s:c r="K57" s="42" t="inlineStr">
        <s:is>
          <s:t>Prova e kërkuar nga backlog-u: E2E job state fixtures
Kriteri për t'u verifikuar (nuk deklarohet i kaluar): Refresh resumes from job resource; terminal error has safe remediation; duplicate retry prevented.
Pranimi kërkon edhe gate-et: RG-14. Asnjë gate nuk është shënuar Passed nga ky audit.</s:t>
        </s:is>
      </s:c>
    </s:row>
    <s:row r="58" ht="72" customHeight="1" s="48">
      <s:c r="A58" s="42" t="inlineStr">
        <s:is>
          <s:t>S3-B06</s:t>
        </s:is>
      </s:c>
      <s:c r="B58" s="42" t="inlineStr">
        <s:is>
          <s:t>S3</s:t>
        </s:is>
      </s:c>
      <s:c r="C58" s="42" t="inlineStr">
        <s:is>
          <s:t>P0</s:t>
        </s:is>
      </s:c>
      <s:c r="D58" s="42" t="inlineStr">
        <s:is>
          <s:t>In Progress</s:t>
        </s:is>
      </s:c>
      <s:c r="E58" s="42" t="inlineStr">
        <s:is>
          <s:t>Pjesërisht — kërkon zhvillim</s:t>
        </s:is>
      </s:c>
      <s:c r="F58" s="42" t="inlineStr">
        <s:is>
          <s:t>Programmer B</s:t>
        </s:is>
      </s:c>
      <s:c r="G58" s="42" t="inlineStr">
        <s:is>
          <s:t>Programmer A</s:t>
        </s:is>
      </s:c>
      <s:c r="H58" s="42" t="inlineStr">
        <s:is>
          <s:t>Build variant comparison and version history</s:t>
        </s:is>
      </s:c>
      <s:c r="I58" s="42" t="inlineStr">
        <s:is>
          <s:t>Mbeten UI diff/side-by-side për tekst/foto/kanal, provenance e dukshme, zgjedhje varianti dhe E2E mobile comparison.</s:t>
        </s:is>
      </s:c>
      <s:c r="J58" s="42" t="inlineStr">
        <s:is>
          <s:t>RG-06</s:t>
        </s:is>
      </s:c>
      <s:c r="K58" s="42" t="inlineStr">
        <s:is>
          <s:t>Prova e kërkuar nga backlog-u: Component/E2E version tests
Kriteri për t'u verifikuar (nuk deklarohet i kaluar): Choosing variant creates/sets intended version without mutating old one; mobile comparison degrades gracefully.
DA-07: Ndrysho fotografi/tekst/kanal pas miratimit; versioni i vjetër mbetet identik dhe approval i vjetër nuk autorizon versionin e ri; provo konkurencën.
Pranimi kërkon edhe gate-et: RG-06. Asnjë gate nuk është shënuar Passed nga ky audit.</s:t>
        </s:is>
      </s:c>
    </s:row>
    <s:row r="59" ht="72" customHeight="1" s="48">
      <s:c r="A59" s="42" t="inlineStr">
        <s:is>
          <s:t>S4-A01</s:t>
        </s:is>
      </s:c>
      <s:c r="B59" s="42" t="inlineStr">
        <s:is>
          <s:t>S4</s:t>
        </s:is>
      </s:c>
      <s:c r="C59" s="42" t="inlineStr">
        <s:is>
          <s:t>P0</s:t>
        </s:is>
      </s:c>
      <s:c r="D59" s="42" t="inlineStr">
        <s:is>
          <s:t>In Progress</s:t>
        </s:is>
      </s:c>
      <s:c r="E59" s="42" t="inlineStr">
        <s:is>
          <s:t>Pjesërisht — kërkon zhvillim</s:t>
        </s:is>
      </s:c>
      <s:c r="F59" s="42" t="inlineStr">
        <s:is>
          <s:t>Programmer A</s:t>
        </s:is>
      </s:c>
      <s:c r="G59" s="42" t="inlineStr">
        <s:is>
          <s:t>Programmer B</s:t>
        </s:is>
      </s:c>
      <s:c r="H59" s="42" t="inlineStr">
        <s:is>
          <s:t>Implement approval state machine and policies</s:t>
        </s:is>
      </s:c>
      <s:c r="I59" s="42" t="inlineStr">
        <s:is>
          <s:t>Mbeten roli/capability Approver, policy override me reason, role matrix dhe RG-03/RG-07.</s:t>
        </s:is>
      </s:c>
      <s:c r="J59" s="42" t="inlineStr">
        <s:is>
          <s:t>RG-03,RG-07</s:t>
        </s:is>
      </s:c>
      <s:c r="K59" s="42" t="inlineStr">
        <s:is>
          <s:t>Prova e kërkuar nga backlog-u: State/role matrix tests
Kriteri për t'u verifikuar (nuk deklarohet i kaluar): Only Approver capability can approve default policy; edited approved content requires re-approval; actions audited.
DA-07: Ndrysho fotografi/tekst/kanal pas miratimit; versioni i vjetër mbetet identik dhe approval i vjetër nuk autorizon versionin e ri; provo konkurencën.
Pranimi kërkon edhe gate-et: RG-03,RG-07. Asnjë gate nuk është shënuar Passed nga ky audit.</s:t>
        </s:is>
      </s:c>
    </s:row>
    <s:row r="60" ht="72" customHeight="1" s="48">
      <s:c r="A60" s="42" t="inlineStr">
        <s:is>
          <s:t>S4-A02</s:t>
        </s:is>
      </s:c>
      <s:c r="B60" s="42" t="inlineStr">
        <s:is>
          <s:t>S4</s:t>
        </s:is>
      </s:c>
      <s:c r="C60" s="42" t="inlineStr">
        <s:is>
          <s:t>P0</s:t>
        </s:is>
      </s:c>
      <s:c r="D60" s="42" t="inlineStr">
        <s:is>
          <s:t>In Progress</s:t>
        </s:is>
      </s:c>
      <s:c r="E60" s="42" t="inlineStr">
        <s:is>
          <s:t>Pjesërisht — kërkon zhvillim</s:t>
        </s:is>
      </s:c>
      <s:c r="F60" s="42" t="inlineStr">
        <s:is>
          <s:t>Programmer A</s:t>
        </s:is>
      </s:c>
      <s:c r="G60" s="42" t="inlineStr">
        <s:is>
          <s:t>Programmer B</s:t>
        </s:is>
      </s:c>
      <s:c r="H60" s="42" t="inlineStr">
        <s:is>
          <s:t>Create scheduled publication domain/API</s:t>
        </s:is>
      </s:c>
      <s:c r="I60" s="42" t="inlineStr">
        <s:is>
          <s:t>Mbeten schedule command idempotency/concurrency e plotë, target/API lifecycle dhe provider staging. Meta kërkohet vetëm për automatic, jo për kalendar manual.</s:t>
        </s:is>
      </s:c>
      <s:c r="J60" s="42" t="inlineStr">
        <s:is>
          <s:t>RG-07</s:t>
        </s:is>
      </s:c>
      <s:c r="K60" s="42" t="inlineStr">
        <s:is>
          <s:t>Prova e kërkuar nga backlog-u: Timezone/idempotency/domain tests
Kriteri për t'u verifikuar (nuk deklarohet i kaluar): Cannot schedule an unapproved or invalid-content version. Manual calendar planning works without Meta, creates no publication job and may use dates beyond trial expiry while writes are entitled. Automatic scheduling requires fresh publication-scope checks and an eligible account valid at run time. Cancel/reschedule/DST/uniqueness and duplicate-command tests pass.
Pranimi kërkon edhe gate-et: RG-07. Asnjë gate nuk është shënuar Passed nga ky audit.</s:t>
        </s:is>
      </s:c>
    </s:row>
    <s:row r="61" ht="72" customHeight="1" s="48">
      <s:c r="A61" s="42" t="inlineStr">
        <s:is>
          <s:t>S4-A03</s:t>
        </s:is>
      </s:c>
      <s:c r="B61" s="42" t="inlineStr">
        <s:is>
          <s:t>S4</s:t>
        </s:is>
      </s:c>
      <s:c r="C61" s="42" t="inlineStr">
        <s:is>
          <s:t>P0</s:t>
        </s:is>
      </s:c>
      <s:c r="D61" s="42" t="inlineStr">
        <s:is>
          <s:t>In Progress</s:t>
        </s:is>
      </s:c>
      <s:c r="E61" s="42" t="inlineStr">
        <s:is>
          <s:t>Pjesërisht — kërkon zhvillim</s:t>
        </s:is>
      </s:c>
      <s:c r="F61" s="42" t="inlineStr">
        <s:is>
          <s:t>Programmer A</s:t>
        </s:is>
      </s:c>
      <s:c r="G61" s="42" t="inlineStr">
        <s:is>
          <s:t>Programmer B</s:t>
        </s:is>
      </s:c>
      <s:c r="H61" s="42" t="inlineStr">
        <s:is>
          <s:t>Implement due dispatcher from schedule to queue</s:t>
        </s:is>
      </s:c>
      <s:c r="I61" s="42" t="inlineStr">
        <s:is>
          <s:t>Mbeten burst/load test, outbox/dispatch proof, procesi i veçantë në deployment dhe alert/SLO për queue age.</s:t>
        </s:is>
      </s:c>
      <s:c r="J61" s="42" t="inlineStr">
        <s:is>
          <s:t>RG-07</s:t>
        </s:is>
      </s:c>
      <s:c r="K61" s="42" t="inlineStr">
        <s:is>
          <s:t>Prova e kërkuar nga backlog-u: Concurrent dispatcher integration test
Kriteri për t'u verifikuar (nuk deklarohet i kaluar): Concurrent dispatchers enqueue one logical job; cancelled/block states skipped; queue age observable.
DA-02: Burst nga disa biznese në të njëjtin orar, dy worker-a, pa dyfishime ose uri të një biznesi; mat vonesën ndaj objektivit të planifikuar.
Pranimi kërkon edhe gate-et: RG-07. Asnjë gate nuk është shënuar Passed nga ky audit.</s:t>
        </s:is>
      </s:c>
    </s:row>
    <s:row r="62" ht="72" customHeight="1" s="48">
      <s:c r="A62" s="42" t="inlineStr">
        <s:is>
          <s:t>S4-A09</s:t>
        </s:is>
      </s:c>
      <s:c r="B62" s="42" t="inlineStr">
        <s:is>
          <s:t>S4</s:t>
        </s:is>
      </s:c>
      <s:c r="C62" s="42" t="inlineStr">
        <s:is>
          <s:t>P0</s:t>
        </s:is>
      </s:c>
      <s:c r="D62" s="42" t="inlineStr">
        <s:is>
          <s:t>In Progress</s:t>
        </s:is>
      </s:c>
      <s:c r="E62" s="42" t="inlineStr">
        <s:is>
          <s:t>Pjesërisht — kërkon zhvillim</s:t>
        </s:is>
      </s:c>
      <s:c r="F62" s="42" t="inlineStr">
        <s:is>
          <s:t>Programmer A</s:t>
        </s:is>
      </s:c>
      <s:c r="G62" s="42" t="inlineStr">
        <s:is>
          <s:t>Programmer B</s:t>
        </s:is>
      </s:c>
      <s:c r="H62" s="42" t="inlineStr">
        <s:is>
          <s:t>Build publishing resilience test matrix</s:t>
        </s:is>
      </s:c>
      <s:c r="I62" s="42" t="inlineStr">
        <s:is>
          <s:t>Mbeten 429/Retry-After, 5xx, auth expiry, media reject, cancel race, process crash dhe provider fixtures në hosted CI/staging.</s:t>
        </s:is>
      </s:c>
      <s:c r="J62" s="42" t="inlineStr">
        <s:is>
          <s:t>RG-07</s:t>
        </s:is>
      </s:c>
      <s:c r="K62" s="42" t="inlineStr">
        <s:is>
          <s:t>Prova e kërkuar nga backlog-u: Resilience integration suite
Kriteri për t'u verifikuar (nuk deklarohet i kaluar): All matrix cases produce expected state and no duplicate; tests run in CI with provider fixtures.
DA-01: Fixture: job i krijuar dje, container i krijuar tani, IN_PROGRESS pastaj FINISHED; publikim vetëm një herë. Provo veçmas skadimin real të container-it.
DA-14: Facebook dhe Instagram: sukses, 429, 5xx, crash, expired token, cancel, timeout-after-write dhe dy worker-a; arkivo provider IDs pa tokenë.
Pranimi kërkon edhe gate-et: RG-07. Asnjë gate nuk është shënuar Passed nga ky audit.</s:t>
        </s:is>
      </s:c>
    </s:row>
    <s:row r="63" ht="72" customHeight="1" s="48">
      <s:c r="A63" s="42" t="inlineStr">
        <s:is>
          <s:t>S4-B01</s:t>
        </s:is>
      </s:c>
      <s:c r="B63" s="42" t="inlineStr">
        <s:is>
          <s:t>S4</s:t>
        </s:is>
      </s:c>
      <s:c r="C63" s="42" t="inlineStr">
        <s:is>
          <s:t>P0</s:t>
        </s:is>
      </s:c>
      <s:c r="D63" s="42" t="inlineStr">
        <s:is>
          <s:t>In Progress</s:t>
        </s:is>
      </s:c>
      <s:c r="E63" s="42" t="inlineStr">
        <s:is>
          <s:t>Pjesërisht — kërkon zhvillim</s:t>
        </s:is>
      </s:c>
      <s:c r="F63" s="42" t="inlineStr">
        <s:is>
          <s:t>Programmer B</s:t>
        </s:is>
      </s:c>
      <s:c r="G63" s="42" t="inlineStr">
        <s:is>
          <s:t>Programmer A</s:t>
        </s:is>
      </s:c>
      <s:c r="H63" s="42" t="inlineStr">
        <s:is>
          <s:t>Build review/approve/reject workflow</s:t>
        </s:is>
      </s:c>
      <s:c r="I63" s="42" t="inlineStr">
        <s:is>
          <s:t>Mbeten Approver role/unauthorized matrix, comments/reject reason, UI që hap snapshot historik dhe RG-03/RG-14.</s:t>
        </s:is>
      </s:c>
      <s:c r="J63" s="42" t="inlineStr">
        <s:is>
          <s:t>RG-03,RG-14</s:t>
        </s:is>
      </s:c>
      <s:c r="K63" s="42" t="inlineStr">
        <s:is>
          <s:t>Prova e kërkuar nga backlog-u: E2E approval role/version cases
Kriteri për t'u verifikuar (nuk deklarohet i kaluar): Approver sees exact immutable version; stale approval conflict prompts refresh; unauthorized user cannot trigger backend action.
DA-07: Ndrysho fotografi/tekst/kanal pas miratimit; versioni i vjetër mbetet identik dhe approval i vjetër nuk autorizon versionin e ri; provo konkurencën.
Pranimi kërkon edhe gate-et: RG-03,RG-14. Asnjë gate nuk është shënuar Passed nga ky audit.</s:t>
        </s:is>
      </s:c>
    </s:row>
    <s:row r="64" ht="72" customHeight="1" s="48">
      <s:c r="A64" s="42" t="inlineStr">
        <s:is>
          <s:t>S4-B04</s:t>
        </s:is>
      </s:c>
      <s:c r="B64" s="42" t="inlineStr">
        <s:is>
          <s:t>S4</s:t>
        </s:is>
      </s:c>
      <s:c r="C64" s="42" t="inlineStr">
        <s:is>
          <s:t>P0</s:t>
        </s:is>
      </s:c>
      <s:c r="D64" s="42" t="inlineStr">
        <s:is>
          <s:t>In Progress</s:t>
        </s:is>
      </s:c>
      <s:c r="E64" s="42" t="inlineStr">
        <s:is>
          <s:t>Pjesërisht — kërkon zhvillim</s:t>
        </s:is>
      </s:c>
      <s:c r="F64" s="42" t="inlineStr">
        <s:is>
          <s:t>Programmer B</s:t>
        </s:is>
      </s:c>
      <s:c r="G64" s="42" t="inlineStr">
        <s:is>
          <s:t>Programmer A</s:t>
        </s:is>
      </s:c>
      <s:c r="H64" s="42" t="inlineStr">
        <s:is>
          <s:t>Build publish status and attempt diagnostics</s:t>
        </s:is>
      </s:c>
      <s:c r="I64" s="42" t="inlineStr">
        <s:is>
          <s:t>Mbeten attempt timeline/support correlation ID, remediation sipas çdo kodi dhe E2E provider states.</s:t>
        </s:is>
      </s:c>
      <s:c r="J64" s="42" t="inlineStr">
        <s:is>
          <s:t>RG-07,RG-10</s:t>
        </s:is>
      </s:c>
      <s:c r="K64" s="42" t="inlineStr">
        <s:is>
          <s:t>Prova e kërkuar nga backlog-u: E2E attempt states
Kriteri për t'u verifikuar (nuk deklarohet i kaluar): No raw token/provider payload; request/attempt ID available to support; retry visible only when allowed.
DA-03: E2E për failed të sigurt, media/auth error dhe uncertain; përdoruesi arrin korrigjimin pa shkaktuar publikim të dyfishtë.
Pranimi kërkon edhe gate-et: RG-07,RG-10. Asnjë gate nuk është shënuar Passed nga ky audit.</s:t>
        </s:is>
      </s:c>
    </s:row>
    <s:row r="65" ht="72" customHeight="1" s="48">
      <s:c r="A65" s="42" t="inlineStr">
        <s:is>
          <s:t>S4-B06</s:t>
        </s:is>
      </s:c>
      <s:c r="B65" s="42" t="inlineStr">
        <s:is>
          <s:t>S4</s:t>
        </s:is>
      </s:c>
      <s:c r="C65" s="42" t="inlineStr">
        <s:is>
          <s:t>P0</s:t>
        </s:is>
      </s:c>
      <s:c r="D65" s="42" t="inlineStr">
        <s:is>
          <s:t>In Progress</s:t>
        </s:is>
      </s:c>
      <s:c r="E65" s="42" t="inlineStr">
        <s:is>
          <s:t>Pjesërisht — kërkon zhvillim</s:t>
        </s:is>
      </s:c>
      <s:c r="F65" s="42" t="inlineStr">
        <s:is>
          <s:t>Programmer B</s:t>
        </s:is>
      </s:c>
      <s:c r="G65" s="42" t="inlineStr">
        <s:is>
          <s:t>Programmer A</s:t>
        </s:is>
      </s:c>
      <s:c r="H65" s="42" t="inlineStr">
        <s:is>
          <s:t>Build reconnect/publish failure remediation</s:t>
        </s:is>
      </s:c>
      <s:c r="I65" s="42" t="inlineStr">
        <s:is>
          <s:t>Mbetet error-code UX matrix për Retry-After/quota/media/auth dhe provider fault E2E.</s:t>
        </s:is>
      </s:c>
      <s:c r="J65" s="42" t="inlineStr">
        <s:is>
          <s:t>RG-04,RG-14</s:t>
        </s:is>
      </s:c>
      <s:c r="K65" s="42" t="inlineStr">
        <s:is>
          <s:t>Prova e kërkuar nga backlog-u: Error-code UX matrix
Kriteri për t'u verifikuar (nuk deklarohet i kaluar): Each stable error code maps to actionable text; temporary issue offers retry later; auth issue links reconnect.
DA-03: E2E për failed të sigurt, media/auth error dhe uncertain; përdoruesi arrin korrigjimin pa shkaktuar publikim të dyfishtë.
DA-04: Timeout pas efektit të jashtëm → uncertain → disconnect → verifikim rezultati → reconnect; ruaj identitetin e target-it dhe mos dyfisho.
Pranimi kërkon edhe gate-et: RG-04,RG-14. Asnjë gate nuk është shënuar Passed nga ky audit.</s:t>
        </s:is>
      </s:c>
    </s:row>
    <s:row r="66" ht="72" customHeight="1" s="48">
      <s:c r="A66" s="42" t="inlineStr">
        <s:is>
          <s:t>S4-B08</s:t>
        </s:is>
      </s:c>
      <s:c r="B66" s="42" t="inlineStr">
        <s:is>
          <s:t>S4</s:t>
        </s:is>
      </s:c>
      <s:c r="C66" s="42" t="inlineStr">
        <s:is>
          <s:t>P0</s:t>
        </s:is>
      </s:c>
      <s:c r="D66" s="42" t="inlineStr">
        <s:is>
          <s:t>In Progress</s:t>
        </s:is>
      </s:c>
      <s:c r="E66" s="42" t="inlineStr">
        <s:is>
          <s:t>Pjesërisht — kërkon zhvillim</s:t>
        </s:is>
      </s:c>
      <s:c r="F66" s="42" t="inlineStr">
        <s:is>
          <s:t>Programmer B</s:t>
        </s:is>
      </s:c>
      <s:c r="G66" s="42" t="inlineStr">
        <s:is>
          <s:t>Programmer A</s:t>
        </s:is>
      </s:c>
      <s:c r="H66" s="42" t="inlineStr">
        <s:is>
          <s:t>Automate full business journey</s:t>
        </s:is>
      </s:c>
      <s:c r="I66" s="42" t="inlineStr">
        <s:is>
          <s:t>Rruga lokale signup→business→upload→review→approval→manual calendar dhe pagination tani kalon në të dy viewport-et. Shto connect→AI→publish me provider fixtures, cleanup determinist dhe CI me DB/staging. 2.</s:t>
        </s:is>
      </s:c>
      <s:c r="J66" s="42" t="inlineStr">
        <s:is>
          <s:t>RG-14</s:t>
        </s:is>
      </s:c>
      <s:c r="K66" s="42" t="inlineStr">
        <s:is>
          <s:t>Prova e kërkuar nga backlog-u: Playwright vertical E2E
Kriteri për t'u verifikuar (nuk deklarohet i kaluar): Flow runs on staging-like CI path and produces trace on failure; data cleanup deterministic.
DA-08: CI nga checkout i pastër kalon testet me DB; heqja e një guard-i e bllokon merge-in. Arkivo raportet pa sekrete.
DA-17: Rerun live.spec.ts: 4/4 desktop/mobile, përfshirë pagination dhe axe në 7 faqe dashboard-i.
Pranimi kërkon edhe gate-et: RG-14. Asnjë gate nuk është shënuar Passed nga ky audit.</s:t>
        </s:is>
      </s:c>
    </s:row>
    <s:row r="67" ht="72" customHeight="1" s="48">
      <s:c r="A67" s="42" t="inlineStr">
        <s:is>
          <s:t>S5-A06</s:t>
        </s:is>
      </s:c>
      <s:c r="B67" s="42" t="inlineStr">
        <s:is>
          <s:t>S5</s:t>
        </s:is>
      </s:c>
      <s:c r="C67" s="42" t="inlineStr">
        <s:is>
          <s:t>P0</s:t>
        </s:is>
      </s:c>
      <s:c r="D67" s="42" t="inlineStr">
        <s:is>
          <s:t>In Progress</s:t>
        </s:is>
      </s:c>
      <s:c r="E67" s="42" t="inlineStr">
        <s:is>
          <s:t>Pjesërisht — kërkon zhvillim</s:t>
        </s:is>
      </s:c>
      <s:c r="F67" s="42" t="inlineStr">
        <s:is>
          <s:t>Programmer A</s:t>
        </s:is>
      </s:c>
      <s:c r="G67" s="42" t="inlineStr">
        <s:is>
          <s:t>Programmer B</s:t>
        </s:is>
      </s:c>
      <s:c r="H67" s="42" t="inlineStr">
        <s:is>
          <s:t>Enforce plans across server workflows</s:t>
        </s:is>
      </s:c>
      <s:c r="I67" s="42" t="inlineStr">
        <s:is>
          <s:t>Mbeten downgrade state machine, members enforcement dhe matrica e parametrizuar për çdo plan/endpoint; RG-08 nuk është kaluar.</s:t>
        </s:is>
      </s:c>
      <s:c r="J67" s="42" t="inlineStr">
        <s:is>
          <s:t>RG-08</s:t>
        </s:is>
      </s:c>
      <s:c r="K67" s="42" t="inlineStr">
        <s:is>
          <s:t>Prova e kërkuar nga backlog-u: Parameterized entitlement matrix
Kriteri për t'u verifikuar (nuk deklarohet i kaluar): Feature endpoints cannot bypass limits; downgrade behavior defined; UI receives stable entitlement code/current/limit.
DA-15: Për çdo plan/version provo features/limits të shfaqura kundrejt serverit, konfigurim të pavlefshëm, downgrade dhe expiry; pagesat kërkojnë sandbox më vete.
Pranimi kërkon edhe gate-et: RG-08. Asnjë gate nuk është shënuar Passed nga ky audit.</s:t>
        </s:is>
      </s:c>
    </s:row>
    <s:row r="68" ht="72" customHeight="1" s="48">
      <s:c r="A68" s="42" t="inlineStr">
        <s:is>
          <s:t>S5-A07</s:t>
        </s:is>
      </s:c>
      <s:c r="B68" s="42" t="inlineStr">
        <s:is>
          <s:t>S5</s:t>
        </s:is>
      </s:c>
      <s:c r="C68" s="42" t="inlineStr">
        <s:is>
          <s:t>P0</s:t>
        </s:is>
      </s:c>
      <s:c r="D68" s="42" t="inlineStr">
        <s:is>
          <s:t>In Progress</s:t>
        </s:is>
      </s:c>
      <s:c r="E68" s="42" t="inlineStr">
        <s:is>
          <s:t>Pjesërisht — kërkon zhvillim</s:t>
        </s:is>
      </s:c>
      <s:c r="F68" s="42" t="inlineStr">
        <s:is>
          <s:t>Programmer A</s:t>
        </s:is>
      </s:c>
      <s:c r="G68" s="42" t="inlineStr">
        <s:is>
          <s:t>Programmer B</s:t>
        </s:is>
      </s:c>
      <s:c r="H68" s="42" t="inlineStr">
        <s:is>
          <s:t>Harden usage reservation ledger for concurrency</s:t>
        </s:is>
      </s:c>
      <s:c r="I68" s="42" t="inlineStr">
        <s:is>
          <s:t>Mbeten concurrency burst/fault tests për endpoint-in me provider, reconciler për rezervime të ngecura dhe policy e aprovuar për kreditë/soft budget.</s:t>
        </s:is>
      </s:c>
      <s:c r="J68" s="42" t="inlineStr">
        <s:is>
          <s:t>RG-08</s:t>
        </s:is>
      </s:c>
      <s:c r="K68" s="42" t="inlineStr">
        <s:is>
          <s:t>Prova e kërkuar nga backlog-u: Concurrent transaction tests
Kriteri për t'u verifikuar (nuk deklarohet i kaluar): Concurrent requests cannot materially exceed hard quota beyond defined transaction behavior; failures release reservations.
DA-12: Kërkesa paralele, provider timeout/error/duplicate, release vetëm një herë dhe ndalim para tejkalimit të buxhetit; replay i kostove për secilin plan.
Pranimi kërkon edhe gate-et: RG-08. Asnjë gate nuk është shënuar Passed nga ky audit.</s:t>
        </s:is>
      </s:c>
    </s:row>
    <s:row r="69" ht="72" customHeight="1" s="48">
      <s:c r="A69" s="42" t="inlineStr">
        <s:is>
          <s:t>S5-A08</s:t>
        </s:is>
      </s:c>
      <s:c r="B69" s="42" t="inlineStr">
        <s:is>
          <s:t>S5</s:t>
        </s:is>
      </s:c>
      <s:c r="C69" s="42" t="inlineStr">
        <s:is>
          <s:t>P0</s:t>
        </s:is>
      </s:c>
      <s:c r="D69" s="42" t="inlineStr">
        <s:is>
          <s:t>In Progress</s:t>
        </s:is>
      </s:c>
      <s:c r="E69" s="42" t="inlineStr">
        <s:is>
          <s:t>Pjesërisht — kërkon zhvillim</s:t>
        </s:is>
      </s:c>
      <s:c r="F69" s="42" t="inlineStr">
        <s:is>
          <s:t>Programmer A</s:t>
        </s:is>
      </s:c>
      <s:c r="G69" s="42" t="inlineStr">
        <s:is>
          <s:t>Programmer B</s:t>
        </s:is>
      </s:c>
      <s:c r="H69" s="42" t="inlineStr">
        <s:is>
          <s:t>Execute ASVS/API security hardening pass</s:t>
        </s:is>
      </s:c>
      <s:c r="I69" s="42" t="inlineStr">
        <s:is>
          <s:t>Mungon ASVS evidence matrix, sensitive re-auth, security scans/penetration audit dhe provë prodhimi; nuk mund të deklarohet zero high/critical.</s:t>
        </s:is>
      </s:c>
      <s:c r="J69" s="42" t="inlineStr">
        <s:is>
          <s:t>RG-12</s:t>
        </s:is>
      </s:c>
      <s:c r="K69" s="42" t="inlineStr">
        <s:is>
          <s:t>Prova e kërkuar nga backlog-u: Security regression + checklist
Kriteri për t'u verifikuar (nuk deklarohet i kaluar): No unresolved exploitable high/critical finding in scope; checklist links tests/config evidence.
Pranimi kërkon edhe gate-et: RG-12. Asnjë gate nuk është shënuar Passed nga ky audit.</s:t>
        </s:is>
      </s:c>
    </s:row>
    <s:row r="70" ht="72" customHeight="1" s="48">
      <s:c r="A70" s="42" t="inlineStr">
        <s:is>
          <s:t>S5-B04</s:t>
        </s:is>
      </s:c>
      <s:c r="B70" s="42" t="inlineStr">
        <s:is>
          <s:t>S5</s:t>
        </s:is>
      </s:c>
      <s:c r="C70" s="42" t="inlineStr">
        <s:is>
          <s:t>P0</s:t>
        </s:is>
      </s:c>
      <s:c r="D70" s="42" t="inlineStr">
        <s:is>
          <s:t>In Progress</s:t>
        </s:is>
      </s:c>
      <s:c r="E70" s="42" t="inlineStr">
        <s:is>
          <s:t>Pjesërisht — kërkon zhvillim</s:t>
        </s:is>
      </s:c>
      <s:c r="F70" s="42" t="inlineStr">
        <s:is>
          <s:t>Programmer B</s:t>
        </s:is>
      </s:c>
      <s:c r="G70" s="42" t="inlineStr">
        <s:is>
          <s:t>Programmer A</s:t>
        </s:is>
      </s:c>
      <s:c r="H70" s="42" t="inlineStr">
        <s:is>
          <s:t>Build checkout and subscription settings</s:t>
        </s:is>
      </s:c>
      <s:c r="I70" s="42" t="inlineStr">
        <s:is>
          <s:t>Checkout/upgrade/downgrade/cancel/portal, Billing role dhe provider-return flow nuk janë implementuar.</s:t>
        </s:is>
      </s:c>
      <s:c r="J70" s="42" t="inlineStr">
        <s:is>
          <s:t>RG-08</s:t>
        </s:is>
      </s:c>
      <s:c r="K70" s="42" t="inlineStr">
        <s:is>
          <s:t>Prova e kërkuar nga backlog-u: Provider sandbox E2E + role tests
Kriteri për t'u verifikuar (nuk deklarohet i kaluar): Owner/Billing only; double checkout safe; past_due/cancelled states explicit; no card data handled by app if provider-hosted.
Pranimi kërkon edhe gate-et: RG-08. Asnjë gate nuk është shënuar Passed nga ky audit.</s:t>
        </s:is>
      </s:c>
    </s:row>
    <s:row r="71" ht="72" customHeight="1" s="48">
      <s:c r="A71" s="42" t="inlineStr">
        <s:is>
          <s:t>S5-B06</s:t>
        </s:is>
      </s:c>
      <s:c r="B71" s="42" t="inlineStr">
        <s:is>
          <s:t>S5</s:t>
        </s:is>
      </s:c>
      <s:c r="C71" s="42" t="inlineStr">
        <s:is>
          <s:t>P0</s:t>
        </s:is>
      </s:c>
      <s:c r="D71" s="42" t="inlineStr">
        <s:is>
          <s:t>In Progress</s:t>
        </s:is>
      </s:c>
      <s:c r="E71" s="42" t="inlineStr">
        <s:is>
          <s:t>Pjesërisht — kërkon zhvillim</s:t>
        </s:is>
      </s:c>
      <s:c r="F71" s="42" t="inlineStr">
        <s:is>
          <s:t>Programmer B</s:t>
        </s:is>
      </s:c>
      <s:c r="G71" s="42" t="inlineStr">
        <s:is>
          <s:t>Programmer A</s:t>
        </s:is>
      </s:c>
      <s:c r="H71" s="42" t="inlineStr">
        <s:is>
          <s:t>Implement feature gating and upgrade prompts</s:t>
        </s:is>
      </s:c>
      <s:c r="I71" s="42" t="inlineStr">
        <s:is>
          <s:t>Mbeten composable i unifikuar për upgrade context, stale-snapshot E2E dhe matrica e çdo denial-i/CTA-je.</s:t>
        </s:is>
      </s:c>
      <s:c r="J71" s="42" t="inlineStr">
        <s:is>
          <s:t>RG-08</s:t>
        </s:is>
      </s:c>
      <s:c r="K71" s="42" t="inlineStr">
        <s:is>
          <s:t>Prova e kërkuar nga backlog-u: Unit/E2E entitlement matrix
Kriteri për t'u verifikuar (nuk deklarohet i kaluar): No scattered plan-name checks; backend denial still handled if snapshot stale; upgrade CTA has context.
DA-15: Për çdo plan/version provo features/limits të shfaqura kundrejt serverit, konfigurim të pavlefshëm, downgrade dhe expiry; pagesat kërkojnë sandbox më vete.
Pranimi kërkon edhe gate-et: RG-08. Asnjë gate nuk është shënuar Passed nga ky audit.</s:t>
        </s:is>
      </s:c>
    </s:row>
    <s:row r="72" ht="72" customHeight="1" s="48">
      <s:c r="A72" s="42" t="inlineStr">
        <s:is>
          <s:t>S5-B08</s:t>
        </s:is>
      </s:c>
      <s:c r="B72" s="42" t="inlineStr">
        <s:is>
          <s:t>S5</s:t>
        </s:is>
      </s:c>
      <s:c r="C72" s="42" t="inlineStr">
        <s:is>
          <s:t>P0</s:t>
        </s:is>
      </s:c>
      <s:c r="D72" s="42" t="inlineStr">
        <s:is>
          <s:t>In Progress</s:t>
        </s:is>
      </s:c>
      <s:c r="E72" s="42" t="inlineStr">
        <s:is>
          <s:t>Pjesërisht — kërkon zhvillim</s:t>
        </s:is>
      </s:c>
      <s:c r="F72" s="42" t="inlineStr">
        <s:is>
          <s:t>Programmer B</s:t>
        </s:is>
      </s:c>
      <s:c r="G72" s="42" t="inlineStr">
        <s:is>
          <s:t>Programmer A</s:t>
        </s:is>
      </s:c>
      <s:c r="H72" s="42" t="inlineStr">
        <s:is>
          <s:t>Run full app accessibility remediation</s:t>
        </s:is>
      </s:c>
      <s:c r="I72" s="42" t="inlineStr">
        <s:is>
          <s:t>Përfundo accessibility të formularëve/modaleve/fault states në dark/light, keyboard dhe screen reader. Axe në 7 faqe dashboard-i kalon në Chromium desktop/mobile; nuk mbulon të gjitha gjendjet ose pajisjet.</s:t>
        </s:is>
      </s:c>
      <s:c r="J72" s="42" t="inlineStr">
        <s:is>
          <s:t>RG-14</s:t>
        </s:is>
      </s:c>
      <s:c r="K72" s="42" t="inlineStr">
        <s:is>
          <s:t>Prova e kërkuar nga backlog-u: axe + manual keyboard/screen-reader spot checks
Kriteri për t'u verifikuar (nuk deklarohet i kaluar): No serious/critical automated issue in critical paths; manual keyboard checklist passes.
Pranimi kërkon edhe gate-et: RG-14. Asnjë gate nuk është shënuar Passed nga ky audit.</s:t>
        </s:is>
      </s:c>
    </s:row>
    <s:row r="73" ht="72" customHeight="1" s="48">
      <s:c r="A73" s="42" t="inlineStr">
        <s:is>
          <s:t>S5-B09</s:t>
        </s:is>
      </s:c>
      <s:c r="B73" s="42" t="inlineStr">
        <s:is>
          <s:t>S5</s:t>
        </s:is>
      </s:c>
      <s:c r="C73" s="42" t="inlineStr">
        <s:is>
          <s:t>P0</s:t>
        </s:is>
      </s:c>
      <s:c r="D73" s="42" t="inlineStr">
        <s:is>
          <s:t>In Progress</s:t>
        </s:is>
      </s:c>
      <s:c r="E73" s="42" t="inlineStr">
        <s:is>
          <s:t>Pjesërisht — kërkon zhvillim</s:t>
        </s:is>
      </s:c>
      <s:c r="F73" s="42" t="inlineStr">
        <s:is>
          <s:t>Programmer B</s:t>
        </s:is>
      </s:c>
      <s:c r="G73" s="42" t="inlineStr">
        <s:is>
          <s:t>Programmer A</s:t>
        </s:is>
      </s:c>
      <s:c r="H73" s="42" t="inlineStr">
        <s:is>
          <s:t>Automate analytics/billing/entitlement journeys</s:t>
        </s:is>
      </s:c>
      <s:c r="I73" s="42" t="inlineStr">
        <s:is>
          <s:t>Nuk ka commercial E2E upgrade/downgrade/checkout/billing-role; analytics është deferred.</s:t>
        </s:is>
      </s:c>
      <s:c r="J73" s="42" t="inlineStr">
        <s:is>
          <s:t>RG-08,RG-14</s:t>
        </s:is>
      </s:c>
      <s:c r="K73" s="42" t="inlineStr">
        <s:is>
          <s:t>Prova e kërkuar nga backlog-u: Playwright commercial suite
Kriteri për t'u verifikuar (nuk deklarohet i kaluar): All commercial state transitions produce expected UI/server behavior; tests deterministic.
Pranimi kërkon edhe gate-et: RG-08,RG-14. Asnjë gate nuk është shënuar Passed nga ky audit.</s:t>
        </s:is>
      </s:c>
    </s:row>
    <s:row r="74" ht="72" customHeight="1" s="48">
      <s:c r="A74" s="42" t="inlineStr">
        <s:is>
          <s:t>S6-A04</s:t>
        </s:is>
      </s:c>
      <s:c r="B74" s="42" t="inlineStr">
        <s:is>
          <s:t>S6</s:t>
        </s:is>
      </s:c>
      <s:c r="C74" s="42" t="inlineStr">
        <s:is>
          <s:t>P0</s:t>
        </s:is>
      </s:c>
      <s:c r="D74" s="42" t="inlineStr">
        <s:is>
          <s:t>In Progress</s:t>
        </s:is>
      </s:c>
      <s:c r="E74" s="42" t="inlineStr">
        <s:is>
          <s:t>Pjesërisht — kërkon zhvillim</s:t>
        </s:is>
      </s:c>
      <s:c r="F74" s="42" t="inlineStr">
        <s:is>
          <s:t>Programmer A</s:t>
        </s:is>
      </s:c>
      <s:c r="G74" s="42" t="inlineStr">
        <s:is>
          <s:t>Programmer B</s:t>
        </s:is>
      </s:c>
      <s:c r="H74" s="42" t="inlineStr">
        <s:is>
          <s:t>Implement organization data export</s:t>
        </s:is>
      </s:c>
      <s:c r="I74" s="42" t="inlineStr">
        <s:is>
          <s:t>Mungon server export job/manifest/checksums/signed expiring artifact, recent-auth dhe provë access/expiry. JSON client-side nuk përfshin lifecycle të plotë export. 2.</s:t>
        </s:is>
      </s:c>
      <s:c r="J74" s="42" t="inlineStr">
        <s:is>
          <s:t>RG-09</s:t>
        </s:is>
      </s:c>
      <s:c r="K74" s="42" t="inlineStr">
        <s:is>
          <s:t>Prova e kërkuar nga backlog-u: Privacy export E2E/security tests
Kriteri për t'u verifikuar (nuk deklarohet i kaluar): Owner can request once idempotently, track status and download before expiry; Org B cannot access artifact.
DA-10: Eksport me fotografi/import/history; kontrollo manifest/checksum dhe qasjen/expiry nga llogari tjetër. Mos e paraqit JSON-in aktual si backup të plotë.
Pranimi kërkon edhe gate-et: RG-09. Asnjë gate nuk është shënuar Passed nga ky audit.</s:t>
        </s:is>
      </s:c>
    </s:row>
    <s:row r="75" ht="72" customHeight="1" s="48">
      <s:c r="A75" s="42" t="inlineStr">
        <s:is>
          <s:t>S6-A12</s:t>
        </s:is>
      </s:c>
      <s:c r="B75" s="42" t="inlineStr">
        <s:is>
          <s:t>S6</s:t>
        </s:is>
      </s:c>
      <s:c r="C75" s="42" t="inlineStr">
        <s:is>
          <s:t>P0</s:t>
        </s:is>
      </s:c>
      <s:c r="D75" s="42" t="inlineStr">
        <s:is>
          <s:t>In Progress</s:t>
        </s:is>
      </s:c>
      <s:c r="E75" s="42" t="inlineStr">
        <s:is>
          <s:t>Pjesërisht — kërkon zhvillim</s:t>
        </s:is>
      </s:c>
      <s:c r="F75" s="42" t="inlineStr">
        <s:is>
          <s:t>Programmer A</s:t>
        </s:is>
      </s:c>
      <s:c r="G75" s="42" t="inlineStr">
        <s:is>
          <s:t>Programmer B</s:t>
        </s:is>
      </s:c>
      <s:c r="H75" s="42" t="inlineStr">
        <s:is>
          <s:t>Create structured ContentPolicyEngine baseline</s:t>
        </s:is>
      </s:c>
      <s:c r="I75" s="42" t="inlineStr">
        <s:is>
          <s:t>Mungojnë policy versions, vertical packs, reason-code/evidence contract, override capability/reason/audit dhe golden fixtures.</s:t>
        </s:is>
      </s:c>
      <s:c r="J75" s="42" t="inlineStr">
        <s:is>
          <s:t>RG-16</s:t>
        </s:is>
      </s:c>
      <s:c r="K75" s="42" t="inlineStr">
        <s:is>
          <s:t>Prova e kërkuar nga backlog-u: Policy unit + golden fixtures
Kriteri për t'u verifikuar (nuk deklarohet i kaluar): All blocking fixtures fail closed; decision persisted with policy version; allowed override requires capability + reason + audit.
Pranimi kërkon edhe gate-et: RG-16. Asnjë gate nuk është shënuar Passed nga ky audit.</s:t>
        </s:is>
      </s:c>
    </s:row>
    <s:row r="76" ht="72" customHeight="1" s="48">
      <s:c r="A76" s="42" t="inlineStr">
        <s:is>
          <s:t>S6-A13</s:t>
        </s:is>
      </s:c>
      <s:c r="B76" s="42" t="inlineStr">
        <s:is>
          <s:t>S6</s:t>
        </s:is>
      </s:c>
      <s:c r="C76" s="42" t="inlineStr">
        <s:is>
          <s:t>P0</s:t>
        </s:is>
      </s:c>
      <s:c r="D76" s="42" t="inlineStr">
        <s:is>
          <s:t>In Progress</s:t>
        </s:is>
      </s:c>
      <s:c r="E76" s="42" t="inlineStr">
        <s:is>
          <s:t>Pjesërisht — kërkon zhvillim</s:t>
        </s:is>
      </s:c>
      <s:c r="F76" s="42" t="inlineStr">
        <s:is>
          <s:t>Programmer A</s:t>
        </s:is>
      </s:c>
      <s:c r="G76" s="42" t="inlineStr">
        <s:is>
          <s:t>Programmer B</s:t>
        </s:is>
      </s:c>
      <s:c r="H76" s="42" t="inlineStr">
        <s:is>
          <s:t>Implement AI monetary/credit budget guardrails</s:t>
        </s:is>
      </s:c>
      <s:c r="I76" s="42" t="inlineStr">
        <s:is>
          <s:t>Mbeten synthetic concurrent load, anomaly alerts/operator recovery, stuck-reservation reconciliation dhe envelope komercial i aprovuar; RG-18 mbetet i hapur.</s:t>
        </s:is>
      </s:c>
      <s:c r="J76" s="42" t="inlineStr">
        <s:is>
          <s:t>RG-18</s:t>
        </s:is>
      </s:c>
      <s:c r="K76" s="42" t="inlineStr">
        <s:is>
          <s:t>Prova e kërkuar nga backlog-u: Concurrency + fault tests
Kriteri për t'u verifikuar (nuk deklarohet i kaluar): Concurrent requests cannot exceed hard budget beyond bounded reservation tolerance; kill switch blocks new expensive jobs but preserves saved work.
DA-12: Kërkesa paralele, provider timeout/error/duplicate, release vetëm një herë dhe ndalim para tejkalimit të buxhetit; replay i kostove për secilin plan.
Pranimi kërkon edhe gate-et: RG-18. Asnjë gate nuk është shënuar Passed nga ky audit.</s:t>
        </s:is>
      </s:c>
    </s:row>
    <s:row r="77" ht="72" customHeight="1" s="48">
      <s:c r="A77" s="42" t="inlineStr">
        <s:is>
          <s:t>S6-B05</s:t>
        </s:is>
      </s:c>
      <s:c r="B77" s="42" t="inlineStr">
        <s:is>
          <s:t>S6</s:t>
        </s:is>
      </s:c>
      <s:c r="C77" s="42" t="inlineStr">
        <s:is>
          <s:t>P0</s:t>
        </s:is>
      </s:c>
      <s:c r="D77" s="42" t="inlineStr">
        <s:is>
          <s:t>In Progress</s:t>
        </s:is>
      </s:c>
      <s:c r="E77" s="42" t="inlineStr">
        <s:is>
          <s:t>Pjesërisht — kërkon zhvillim</s:t>
        </s:is>
      </s:c>
      <s:c r="F77" s="42" t="inlineStr">
        <s:is>
          <s:t>Programmer B</s:t>
        </s:is>
      </s:c>
      <s:c r="G77" s="42" t="inlineStr">
        <s:is>
          <s:t>Programmer A</s:t>
        </s:is>
      </s:c>
      <s:c r="H77" s="42" t="inlineStr">
        <s:is>
          <s:t>Harden slow/error/empty/retry states under fault injection</s:t>
        </s:is>
      </s:c>
      <s:c r="I77" s="42" t="inlineStr">
        <s:is>
          <s:t>Mbetet network throttle/offline/intermittent/provider fault E2E dhe RG-14.</s:t>
        </s:is>
      </s:c>
      <s:c r="J77" s="42" t="inlineStr">
        <s:is>
          <s:t>RG-14</s:t>
        </s:is>
      </s:c>
      <s:c r="K77" s="42" t="inlineStr">
        <s:is>
          <s:t>Prova e kërkuar nga backlog-u: Network throttling/fault E2E
Kriteri për t'u verifikuar (nuk deklarohet i kaluar): No infinite spinner; retriable actions recover; destructive action result unambiguous; draft work preserved where possible.
DA-06: Llogari ekzistuese me trial policy të padisponueshme: login lejohet kur auth punon; signup jep gabim të qartë; recovery ndjek vetëm gatishmërinë e emailit/auth.
Pranimi kërkon edhe gate-et: RG-14. Asnjë gate nuk është shënuar Passed nga ky audit.</s:t>
        </s:is>
      </s:c>
    </s:row>
    <s:row r="78" ht="72" customHeight="1" s="48">
      <s:c r="A78" s="42" t="inlineStr">
        <s:is>
          <s:t>S7-A03</s:t>
        </s:is>
      </s:c>
      <s:c r="B78" s="42" t="inlineStr">
        <s:is>
          <s:t>S7</s:t>
        </s:is>
      </s:c>
      <s:c r="C78" s="42" t="inlineStr">
        <s:is>
          <s:t>P0</s:t>
        </s:is>
      </s:c>
      <s:c r="D78" s="42" t="inlineStr">
        <s:is>
          <s:t>In Progress</s:t>
        </s:is>
      </s:c>
      <s:c r="E78" s="42" t="inlineStr">
        <s:is>
          <s:t>Pjesërisht — kërkon zhvillim</s:t>
        </s:is>
      </s:c>
      <s:c r="F78" s="42" t="inlineStr">
        <s:is>
          <s:t>Programmer A</s:t>
        </s:is>
      </s:c>
      <s:c r="G78" s="42" t="inlineStr">
        <s:is>
          <s:t>Programmer B</s:t>
        </s:is>
      </s:c>
      <s:c r="H78" s="42" t="inlineStr">
        <s:is>
          <s:t>Implement ContentFormat and ChannelCapability registry</s:t>
        </s:is>
      </s:c>
      <s:c r="I78" s="42" t="inlineStr">
        <s:is>
          <s:t>Mbeten reel/story/carousel adapters, account-level capability contract dhe provider contract tests për secilin format.</s:t>
        </s:is>
      </s:c>
      <s:c r="J78" s="42" t="inlineStr">
        <s:is>
          <s:t>RG-17,RG-19</s:t>
        </s:is>
      </s:c>
      <s:c r="K78" s="42" t="inlineStr">
        <s:is>
          <s:t>Prova e kërkuar nga backlog-u: Contract + adapter tests
Kriteri për t'u verifikuar (nuk deklarohet i kaluar): Unsupported format/account pair fails before generation/publish; adapter capability controls behavior; no format-specific conditionals spread across domain.
DA-16: Foto katrore/portrait/landscape në të dy kanalet: krahaso preview me dimensionet e asset-it të dërguar; golden render për composer kur zbatohet.
Pranimi kërkon edhe gate-et: RG-17,RG-19. Asnjë gate nuk është shënuar Passed nga ky audit.</s:t>
        </s:is>
      </s:c>
    </s:row>
    <s:row r="79" ht="72" customHeight="1" s="48">
      <s:c r="A79" s="42" t="inlineStr">
        <s:is>
          <s:t>S7-A04</s:t>
        </s:is>
      </s:c>
      <s:c r="B79" s="42" t="inlineStr">
        <s:is>
          <s:t>S7</s:t>
        </s:is>
      </s:c>
      <s:c r="C79" s="42" t="inlineStr">
        <s:is>
          <s:t>P0</s:t>
        </s:is>
      </s:c>
      <s:c r="D79" s="42" t="inlineStr">
        <s:is>
          <s:t>In Progress</s:t>
        </s:is>
      </s:c>
      <s:c r="E79" s="42" t="inlineStr">
        <s:is>
          <s:t>Pjesërisht — kërkon zhvillim</s:t>
        </s:is>
      </s:c>
      <s:c r="F79" s="42" t="inlineStr">
        <s:is>
          <s:t>Programmer A</s:t>
        </s:is>
      </s:c>
      <s:c r="G79" s="42" t="inlineStr">
        <s:is>
          <s:t>Programmer B</s:t>
        </s:is>
      </s:c>
      <s:c r="H79" s="42" t="inlineStr">
        <s:is>
          <s:t>Complete subscription lifecycle state machine</s:t>
        </s:is>
      </s:c>
      <s:c r="I79" s="42" t="inlineStr">
        <s:is>
          <s:t>Nuk ka subscription trial→active/past_due/grace/cancel/refund/chargeback state machine ose provider webhooks/out-of-order tests. 2.</s:t>
        </s:is>
      </s:c>
      <s:c r="J79" s="42" t="inlineStr">
        <s:is>
          <s:t>RG-08</s:t>
        </s:is>
      </s:c>
      <s:c r="K79" s="42" t="inlineStr">
        <s:is>
          <s:t>Prova e kërkuar nga backlog-u: Webhook replay + state tests
Kriteri për t'u verifikuar (nuk deklarohet i kaluar): Duplicate/out-of-order provider events produce deterministic state; data is never deleted on downgrade; entitlements match effective state.
DA-15: Për çdo plan/version provo features/limits të shfaqura kundrejt serverit, konfigurim të pavlefshëm, downgrade dhe expiry; pagesat kërkojnë sandbox më vete.
Pranimi kërkon edhe gate-et: RG-08. Asnjë gate nuk është shënuar Passed nga ky audit.</s:t>
        </s:is>
      </s:c>
    </s:row>
    <s:row r="80" ht="72" customHeight="1" s="48">
      <s:c r="A80" s="42" t="inlineStr">
        <s:is>
          <s:t>S7-A05</s:t>
        </s:is>
      </s:c>
      <s:c r="B80" s="42" t="inlineStr">
        <s:is>
          <s:t>S7</s:t>
        </s:is>
      </s:c>
      <s:c r="C80" s="42" t="inlineStr">
        <s:is>
          <s:t>P0</s:t>
        </s:is>
      </s:c>
      <s:c r="D80" s="42" t="inlineStr">
        <s:is>
          <s:t>In Progress</s:t>
        </s:is>
      </s:c>
      <s:c r="E80" s="42" t="inlineStr">
        <s:is>
          <s:t>Pjesërisht — kërkon zhvillim</s:t>
        </s:is>
      </s:c>
      <s:c r="F80" s="42" t="inlineStr">
        <s:is>
          <s:t>Programmer A</s:t>
        </s:is>
      </s:c>
      <s:c r="G80" s="42" t="inlineStr">
        <s:is>
          <s:t>Programmer B</s:t>
        </s:is>
      </s:c>
      <s:c r="H80" s="42" t="inlineStr">
        <s:is>
          <s:t>Implement retention/consent/rights metadata contracts</s:t>
        </s:is>
      </s:c>
      <s:c r="I80" s="42" t="inlineStr">
        <s:is>
          <s:t>Mbeten provider-authenticated deletion callback, organization purge resumable, retention classes/holds dhe legal owner approval; RG-09/RG-16 mbeten të hapura.</s:t>
        </s:is>
      </s:c>
      <s:c r="J80" s="42" t="inlineStr">
        <s:is>
          <s:t>RG-09,RG-16</s:t>
        </s:is>
      </s:c>
      <s:c r="K80" s="42" t="inlineStr">
        <s:is>
          <s:t>Prova e kërkuar nga backlog-u: Integration + deletion tests
Kriteri për t'u verifikuar (nuk deklarohet i kaluar): Deletion callback authenticated/verified per provider mechanism; rights metadata enforceable by policy; retention jobs resumable.
DA-11: Revoko të drejtat e asset-it në postim të planifikuar, verifiko bllokimin e publikimit; provo purge/resume dhe përjashtimet e dokumentuara të ruajtjes.
Pranimi kërkon edhe gate-et: RG-09,RG-16. Asnjë gate nuk është shënuar Passed nga ky audit.</s:t>
        </s:is>
      </s:c>
    </s:row>
    <s:row r="81" ht="72" customHeight="1" s="48">
      <s:c r="A81" s="42" t="inlineStr">
        <s:is>
          <s:t>S7-A07</s:t>
        </s:is>
      </s:c>
      <s:c r="B81" s="42" t="inlineStr">
        <s:is>
          <s:t>S7</s:t>
        </s:is>
      </s:c>
      <s:c r="C81" s="42" t="inlineStr">
        <s:is>
          <s:t>P0</s:t>
        </s:is>
      </s:c>
      <s:c r="D81" s="42" t="inlineStr">
        <s:is>
          <s:t>In Progress</s:t>
        </s:is>
      </s:c>
      <s:c r="E81" s="42" t="inlineStr">
        <s:is>
          <s:t>Pjesërisht — kërkon zhvillim</s:t>
        </s:is>
      </s:c>
      <s:c r="F81" s="42" t="inlineStr">
        <s:is>
          <s:t>Programmer A</s:t>
        </s:is>
      </s:c>
      <s:c r="G81" s="42" t="inlineStr">
        <s:is>
          <s:t>Programmer B</s:t>
        </s:is>
      </s:c>
      <s:c r="H81" s="42" t="inlineStr">
        <s:is>
          <s:t>Harden prompt-injection/untrusted-content boundaries</s:t>
        </s:is>
      </s:c>
      <s:c r="I81" s="42" t="inlineStr">
        <s:is>
          <s:t>Nuk ka adversarial injection eval suite, provenance/policy enforcement të claim-eve ose tool allowlist test. Prompt-i vetëm nuk provon rezistencë ndaj injection.</s:t>
        </s:is>
      </s:c>
      <s:c r="J81" s="42" t="inlineStr">
        <s:is>
          <s:t>RG-16,RG-12</s:t>
        </s:is>
      </s:c>
      <s:c r="K81" s="42" t="inlineStr">
        <s:is>
          <s:t>Prova e kërkuar nga backlog-u: Adversarial eval
Kriteri për t'u verifikuar (nuk deklarohet i kaluar): Known prompt-injection fixtures cannot invoke unauthorized tools/change policy; model output still passes policy/domain validation.
Pranimi kërkon edhe gate-et: RG-16,RG-12. Asnjë gate nuk është shënuar Passed nga ky audit.</s:t>
        </s:is>
      </s:c>
    </s:row>
    <s:row r="82" ht="72" customHeight="1" s="48">
      <s:c r="A82" s="42" t="inlineStr">
        <s:is>
          <s:t>S7-B03</s:t>
        </s:is>
      </s:c>
      <s:c r="B82" s="42" t="inlineStr">
        <s:is>
          <s:t>S7</s:t>
        </s:is>
      </s:c>
      <s:c r="C82" s="42" t="inlineStr">
        <s:is>
          <s:t>P0</s:t>
        </s:is>
      </s:c>
      <s:c r="D82" s="42" t="inlineStr">
        <s:is>
          <s:t>In Progress</s:t>
        </s:is>
      </s:c>
      <s:c r="E82" s="42" t="inlineStr">
        <s:is>
          <s:t>Pjesërisht — kërkon zhvillim</s:t>
        </s:is>
      </s:c>
      <s:c r="F82" s="42" t="inlineStr">
        <s:is>
          <s:t>Programmer B</s:t>
        </s:is>
      </s:c>
      <s:c r="G82" s="42" t="inlineStr">
        <s:is>
          <s:t>Programmer A</s:t>
        </s:is>
      </s:c>
      <s:c r="H82" s="42" t="inlineStr">
        <s:is>
          <s:t>Build content QA and policy review experience</s:t>
        </s:is>
      </s:c>
      <s:c r="I82" s="42" t="inlineStr">
        <s:is>
          <s:t>Mbeten factuality/claim provenance, versioned policy, override capability/reason/audit dhe RG-16/RG-17.</s:t>
        </s:is>
      </s:c>
      <s:c r="J82" s="42" t="inlineStr">
        <s:is>
          <s:t>RG-16,RG-17</s:t>
        </s:is>
      </s:c>
      <s:c r="K82" s="42" t="inlineStr">
        <s:is>
          <s:t>Prova e kërkuar nga backlog-u: E2E + a11y
Kriteri për t'u verifikuar (nuk deklarohet i kaluar): BLOCK prevents approve/schedule; WARN reason actionable; override asks reason/capability; provenance accessible.
DA-03: E2E për failed të sigurt, media/auth error dhe uncertain; përdoruesi arrin korrigjimin pa shkaktuar publikim të dyfishtë.
Pranimi kërkon edhe gate-et: RG-16,RG-17. Asnjë gate nuk është shënuar Passed nga ky audit.</s:t>
        </s:is>
      </s:c>
    </s:row>
    <s:row r="83" ht="72" customHeight="1" s="48">
      <s:c r="A83" s="42" t="inlineStr">
        <s:is>
          <s:t>S7-B05</s:t>
        </s:is>
      </s:c>
      <s:c r="B83" s="42" t="inlineStr">
        <s:is>
          <s:t>S7</s:t>
        </s:is>
      </s:c>
      <s:c r="C83" s="42" t="inlineStr">
        <s:is>
          <s:t>P0</s:t>
        </s:is>
      </s:c>
      <s:c r="D83" s="42" t="inlineStr">
        <s:is>
          <s:t>In Progress</s:t>
        </s:is>
      </s:c>
      <s:c r="E83" s="42" t="inlineStr">
        <s:is>
          <s:t>Pjesërisht — kërkon zhvillim</s:t>
        </s:is>
      </s:c>
      <s:c r="F83" s="42" t="inlineStr">
        <s:is>
          <s:t>Programmer B</s:t>
        </s:is>
      </s:c>
      <s:c r="G83" s="42" t="inlineStr">
        <s:is>
          <s:t>Programmer A</s:t>
        </s:is>
      </s:c>
      <s:c r="H83" s="42" t="inlineStr">
        <s:is>
          <s:t>Complete billing edge-case UX</s:t>
        </s:is>
      </s:c>
      <s:c r="I83" s="42" t="inlineStr">
        <s:is>
          <s:t>Mungojnë failed-payment/grace/change-plan/cancel/reactivate/provider-return dhe E2E komerciale.</s:t>
        </s:is>
      </s:c>
      <s:c r="J83" s="42" t="inlineStr">
        <s:is>
          <s:t>RG-08,RG-17</s:t>
        </s:is>
      </s:c>
      <s:c r="K83" s="42" t="inlineStr">
        <s:is>
          <s:t>Prova e kërkuar nga backlog-u: E2E provider fixtures
Kriteri për t'u verifikuar (nuk deklarohet i kaluar): No false success after redirect; effective date explicit; downgrade never suggests content deletion; failed payment shows remediation.
Pranimi kërkon edhe gate-et: RG-08,RG-17. Asnjë gate nuk është shënuar Passed nga ky audit.</s:t>
        </s:is>
      </s:c>
    </s:row>
    <s:row r="84" ht="72" customHeight="1" s="48">
      <s:c r="A84" s="42" t="inlineStr">
        <s:is>
          <s:t>S7-B08</s:t>
        </s:is>
      </s:c>
      <s:c r="B84" s="42" t="inlineStr">
        <s:is>
          <s:t>S7</s:t>
        </s:is>
      </s:c>
      <s:c r="C84" s="42" t="inlineStr">
        <s:is>
          <s:t>P0</s:t>
        </s:is>
      </s:c>
      <s:c r="D84" s="42" t="inlineStr">
        <s:is>
          <s:t>In Progress</s:t>
        </s:is>
      </s:c>
      <s:c r="E84" s="42" t="inlineStr">
        <s:is>
          <s:t>Pjesërisht — kërkon zhvillim</s:t>
        </s:is>
      </s:c>
      <s:c r="F84" s="42" t="inlineStr">
        <s:is>
          <s:t>Programmer B</s:t>
        </s:is>
      </s:c>
      <s:c r="G84" s="42" t="inlineStr">
        <s:is>
          <s:t>Programmer A</s:t>
        </s:is>
      </s:c>
      <s:c r="H84" s="42" t="inlineStr">
        <s:is>
          <s:t>Implement mobile quick actions and approval flow</s:t>
        </s:is>
      </s:c>
      <s:c r="I84" s="42" t="inlineStr">
        <s:is>
          <s:t>Mbeten 360px, pajisje fizike/Safari, reject/deep-link/reschedule/reconnect scripted flow dhe touch-target review.</s:t>
        </s:is>
      </s:c>
      <s:c r="J84" s="42" t="inlineStr">
        <s:is>
          <s:t>RG-17</s:t>
        </s:is>
      </s:c>
      <s:c r="K84" s="42" t="inlineStr">
        <s:is>
          <s:t>Prova e kërkuar nga backlog-u: Mobile Playwright + real-device spot
Kriteri për t'u verifikuar (nuk deklarohet i kaluar): 360px flow passes scripted tasks; no hover-only action; destructive action placement safe.
DA-03: E2E për failed të sigurt, media/auth error dhe uncertain; përdoruesi arrin korrigjimin pa shkaktuar publikim të dyfishtë.
Pranimi kërkon edhe gate-et: RG-17. Asnjë gate nuk është shënuar Passed nga ky audit.</s:t>
        </s:is>
      </s:c>
    </s:row>
    <s:row r="85" ht="72" customHeight="1" s="48">
      <s:c r="A85" s="42" t="inlineStr">
        <s:is>
          <s:t>S8-A10</s:t>
        </s:is>
      </s:c>
      <s:c r="B85" s="42" t="inlineStr">
        <s:is>
          <s:t>S8</s:t>
        </s:is>
      </s:c>
      <s:c r="C85" s="42" t="inlineStr">
        <s:is>
          <s:t>P0</s:t>
        </s:is>
      </s:c>
      <s:c r="D85" s="42" t="inlineStr">
        <s:is>
          <s:t>In Progress</s:t>
        </s:is>
      </s:c>
      <s:c r="E85" s="42" t="inlineStr">
        <s:is>
          <s:t>Pjesërisht — kërkon zhvillim</s:t>
        </s:is>
      </s:c>
      <s:c r="F85" s="42" t="inlineStr">
        <s:is>
          <s:t>Programmer A</s:t>
        </s:is>
      </s:c>
      <s:c r="G85" s="42" t="inlineStr">
        <s:is>
          <s:t>Programmer B</s:t>
        </s:is>
      </s:c>
      <s:c r="H85" s="42" t="inlineStr">
        <s:is>
          <s:t>Close privacy/legal implementation evidence pack</s:t>
        </s:is>
      </s:c>
      <s:c r="I85" s="42" t="inlineStr">
        <s:is>
          <s:t>Mbeten export/purge runbooks të provuara, deletion callback, inventory/subprocessors/DPA dhe miratim ligjor i pronarit; RG-09 nuk është mbyllur.</s:t>
        </s:is>
      </s:c>
      <s:c r="J85" s="42" t="inlineStr">
        <s:is>
          <s:t>RG-09</s:t>
        </s:is>
      </s:c>
      <s:c r="K85" s="42" t="inlineStr">
        <s:is>
          <s:t>Prova e kërkuar nga backlog-u: Release checklist
Kriteri për t'u verifikuar (nuk deklarohet i kaluar): No known undocumented personal/social data flow; deletion/export runbook matches product; unresolved legal blocker explicitly blocks GA.
DA-10: Eksport me fotografi/import/history; kontrollo manifest/checksum dhe qasjen/expiry nga llogari tjetër. Mos e paraqit JSON-in aktual si backup të plotë.
DA-11: Revoko të drejtat e asset-it në postim të planifikuar, verifiko bllokimin e publikimit; provo purge/resume dhe përjashtimet e dokumentuara të ruajtjes.
DA-13: Content review në local bypass dhe public verification, pa përshkrime të shërbimeve të paaktivizuara si aktive; operatori pranon versionin publik.
Pranimi kërkon edhe gate-et: RG-09. Asnjë gate nuk është shënuar Passed nga ky audit.</s:t>
        </s:is>
      </s:c>
    </s:row>
    <s:row r="86" ht="72" customHeight="1" s="48">
      <s:c r="A86" s="42" t="inlineStr">
        <s:is>
          <s:t>S8-A11</s:t>
        </s:is>
      </s:c>
      <s:c r="B86" s="42" t="inlineStr">
        <s:is>
          <s:t>S8</s:t>
        </s:is>
      </s:c>
      <s:c r="C86" s="42" t="inlineStr">
        <s:is>
          <s:t>P0</s:t>
        </s:is>
      </s:c>
      <s:c r="D86" s="42" t="inlineStr">
        <s:is>
          <s:t>In Progress</s:t>
        </s:is>
      </s:c>
      <s:c r="E86" s="42" t="inlineStr">
        <s:is>
          <s:t>Pjesërisht — kërkon zhvillim</s:t>
        </s:is>
      </s:c>
      <s:c r="F86" s="42" t="inlineStr">
        <s:is>
          <s:t>Programmer A</s:t>
        </s:is>
      </s:c>
      <s:c r="G86" s="42" t="inlineStr">
        <s:is>
          <s:t>Programmer B</s:t>
        </s:is>
      </s:c>
      <s:c r="H86" s="42" t="inlineStr">
        <s:is>
          <s:t>Run end-to-end provider/queue/AI/billing failure campaign</s:t>
        </s:is>
      </s:c>
      <s:c r="I86" s="42" t="inlineStr">
        <s:is>
          <s:t>Mbetet staged campaign për 429/5xx/auth/media/process crash, AI provider dhe billing me alerts/SLO; nuk ka fault campaign të jashtëm.</s:t>
        </s:is>
      </s:c>
      <s:c r="J86" s="42" t="inlineStr">
        <s:is>
          <s:t>RG-07,RG-10,RG-12</s:t>
        </s:is>
      </s:c>
      <s:c r="K86" s="42" t="inlineStr">
        <s:is>
          <s:t>Prova e kërkuar nga backlog-u: Fault injection evidence
Kriteri për t'u verifikuar (nuk deklarohet i kaluar): No duplicate publish/charge/content version; retries bounded; user-visible remediation correct; SLO/alerts fire for selected faults.
DA-01: Fixture: job i krijuar dje, container i krijuar tani, IN_PROGRESS pastaj FINISHED; publikim vetëm një herë. Provo veçmas skadimin real të container-it.
DA-14: Facebook dhe Instagram: sukses, 429, 5xx, crash, expired token, cancel, timeout-after-write dhe dy worker-a; arkivo provider IDs pa tokenë.
Pranimi kërkon edhe gate-et: RG-07,RG-10,RG-12. Asnjë gate nuk është shënuar Passed nga ky audit.</s:t>
        </s:is>
      </s:c>
    </s:row>
    <s:row r="87" ht="72" customHeight="1" s="48">
      <s:c r="A87" s="42" t="inlineStr">
        <s:is>
          <s:t>S8-B01</s:t>
        </s:is>
      </s:c>
      <s:c r="B87" s="42" t="inlineStr">
        <s:is>
          <s:t>S8</s:t>
        </s:is>
      </s:c>
      <s:c r="C87" s="42" t="inlineStr">
        <s:is>
          <s:t>P0</s:t>
        </s:is>
      </s:c>
      <s:c r="D87" s="42" t="inlineStr">
        <s:is>
          <s:t>In Progress</s:t>
        </s:is>
      </s:c>
      <s:c r="E87" s="42" t="inlineStr">
        <s:is>
          <s:t>Pjesërisht — kërkon zhvillim</s:t>
        </s:is>
      </s:c>
      <s:c r="F87" s="42" t="inlineStr">
        <s:is>
          <s:t>Programmer B</s:t>
        </s:is>
      </s:c>
      <s:c r="G87" s="42" t="inlineStr">
        <s:is>
          <s:t>Programmer A</s:t>
        </s:is>
      </s:c>
      <s:c r="H87" s="42" t="inlineStr">
        <s:is>
          <s:t>Run final cross-browser critical E2E suite</s:t>
        </s:is>
      </s:c>
      <s:c r="I87" s="42" t="inlineStr">
        <s:is>
          <s:t>Mbeten Firefox/WebKit, hosted CI/staging dhe flows reale generation/publishing/billing.</s:t>
        </s:is>
      </s:c>
      <s:c r="J87" s="42" t="inlineStr">
        <s:is>
          <s:t>RG-14</s:t>
        </s:is>
      </s:c>
      <s:c r="K87" s="42" t="inlineStr">
        <s:is>
          <s:t>Prova e kërkuar nga backlog-u: Playwright full matrix
Kriteri për t'u verifikuar (nuk deklarohet i kaluar): Critical suite green on supported browsers/desktop; defined mobile projects green for core flows.
DA-08: CI nga checkout i pastër kalon testet me DB; heqja e një guard-i e bllokon merge-in. Arkivo raportet pa sekrete.
Pranimi kërkon edhe gate-et: RG-14. Asnjë gate nuk është shënuar Passed nga ky audit.</s:t>
        </s:is>
      </s:c>
    </s:row>
    <s:row r="88" ht="72" customHeight="1" s="48">
      <s:c r="A88" s="42" t="inlineStr">
        <s:is>
          <s:t>S8-B02</s:t>
        </s:is>
      </s:c>
      <s:c r="B88" s="42" t="inlineStr">
        <s:is>
          <s:t>S8</s:t>
        </s:is>
      </s:c>
      <s:c r="C88" s="42" t="inlineStr">
        <s:is>
          <s:t>P0</s:t>
        </s:is>
      </s:c>
      <s:c r="D88" s="42" t="inlineStr">
        <s:is>
          <s:t>In Progress</s:t>
        </s:is>
      </s:c>
      <s:c r="E88" s="42" t="inlineStr">
        <s:is>
          <s:t>Pjesërisht — kërkon zhvillim</s:t>
        </s:is>
      </s:c>
      <s:c r="F88" s="42" t="inlineStr">
        <s:is>
          <s:t>Programmer B</s:t>
        </s:is>
      </s:c>
      <s:c r="G88" s="42" t="inlineStr">
        <s:is>
          <s:t>Programmer A</s:t>
        </s:is>
      </s:c>
      <s:c r="H88" s="42" t="inlineStr">
        <s:is>
          <s:t>Complete final accessibility release pass</s:t>
        </s:is>
      </s:c>
      <s:c r="I88" s="42" t="inlineStr">
        <s:is>
          <s:t>Kryej acceptance accessibility në artefaktin që do promovohet: axe, keyboard, focus, error/recovery, contrast dhe screen-reader. Ruaj checklist-in për çdo rrjedhë; kalimet lokale nuk mbyllin release gate.</s:t>
        </s:is>
      </s:c>
      <s:c r="J88" s="42" t="inlineStr">
        <s:is>
          <s:t>RG-14</s:t>
        </s:is>
      </s:c>
      <s:c r="K88" s="42" t="inlineStr">
        <s:is>
          <s:t>Prova e kërkuar nga backlog-u: axe + manual checklist
Kriteri për t'u verifikuar (nuk deklarohet i kaluar): No serious/critical automated findings; manual blocker list empty; known minor issues documented.
Pranimi kërkon edhe gate-et: RG-14. Asnjë gate nuk është shënuar Passed nga ky audit.</s:t>
        </s:is>
      </s:c>
    </s:row>
    <s:row r="89" ht="72" customHeight="1" s="48">
      <s:c r="A89" s="42" t="inlineStr">
        <s:is>
          <s:t>S8-B10</s:t>
        </s:is>
      </s:c>
      <s:c r="B89" s="42" t="inlineStr">
        <s:is>
          <s:t>S8</s:t>
        </s:is>
      </s:c>
      <s:c r="C89" s="42" t="inlineStr">
        <s:is>
          <s:t>P0</s:t>
        </s:is>
      </s:c>
      <s:c r="D89" s="42" t="inlineStr">
        <s:is>
          <s:t>In Progress</s:t>
        </s:is>
      </s:c>
      <s:c r="E89" s="42" t="inlineStr">
        <s:is>
          <s:t>Pjesërisht — kërkon zhvillim</s:t>
        </s:is>
      </s:c>
      <s:c r="F89" s="42" t="inlineStr">
        <s:is>
          <s:t>Programmer B</s:t>
        </s:is>
      </s:c>
      <s:c r="G89" s="42" t="inlineStr">
        <s:is>
          <s:t>Programmer A</s:t>
        </s:is>
      </s:c>
      <s:c r="H89" s="42" t="inlineStr">
        <s:is>
          <s:t>Close frontend performance and Web Vitals budget</s:t>
        </s:is>
      </s:c>
      <s:c r="I89" s="42" t="inlineStr">
        <s:is>
          <s:t>Duhet build aktual, Web Vitals/CLS/route budget evidence; payload-i i plotë i workspace dhe mungesa e thumbnails mbeten për optimizim. 2.</s:t>
        </s:is>
      </s:c>
      <s:c r="J89" s="42" t="inlineStr">
        <s:is>
          <s:t>RG-11,RG-17</s:t>
        </s:is>
      </s:c>
      <s:c r="K89" s="42" t="inlineStr">
        <s:is>
          <s:t>Prova e kërkuar nga backlog-u: Perf CI/report
Kriteri për t'u verifikuar (nuk deklarohet i kaluar): No agreed budget regression on GA routes; loading skeletons stable; no serious CLS from async content.
DA-09: Fixture 500+ asset dhe 1000 postime: mat bytes/p95/memorien; filtër/cursor nuk kalon tenant-in dhe ndryshimi i një postimi nuk rishkruan gjithë listën.
Pranimi kërkon edhe gate-et: RG-11,RG-17. Asnjë gate nuk është shënuar Passed nga ky audit.</s:t>
        </s:is>
      </s:c>
    </s:row>
    <s:row r="90" ht="72" customHeight="1" s="48">
      <s:c r="A90" s="42" t="inlineStr">
        <s:is>
          <s:t>S8-B11</s:t>
        </s:is>
      </s:c>
      <s:c r="B90" s="42" t="inlineStr">
        <s:is>
          <s:t>S8</s:t>
        </s:is>
      </s:c>
      <s:c r="C90" s="42" t="inlineStr">
        <s:is>
          <s:t>P0</s:t>
        </s:is>
      </s:c>
      <s:c r="D90" s="42" t="inlineStr">
        <s:is>
          <s:t>In Progress</s:t>
        </s:is>
      </s:c>
      <s:c r="E90" s="42" t="inlineStr">
        <s:is>
          <s:t>Pjesërisht — kërkon zhvillim</s:t>
        </s:is>
      </s:c>
      <s:c r="F90" s="42" t="inlineStr">
        <s:is>
          <s:t>Programmer B</s:t>
        </s:is>
      </s:c>
      <s:c r="G90" s="42" t="inlineStr">
        <s:is>
          <s:t>Programmer A</s:t>
        </s:is>
      </s:c>
      <s:c r="H90" s="42" t="inlineStr">
        <s:is>
          <s:t>Create final visual regression matrix for core surfaces</s:t>
        </s:is>
      </s:c>
      <s:c r="I90" s="42" t="inlineStr">
        <s:is>
          <s:t>Nuk ka approved baseline pixel-diff matrix light/dark/responsive/reduced-motion për build-in aktual. Screenshot nuk është visual regression assertion.</s:t>
        </s:is>
      </s:c>
      <s:c r="J90" s="42" t="inlineStr">
        <s:is>
          <s:t>RG-17</s:t>
        </s:is>
      </s:c>
      <s:c r="K90" s="42" t="inlineStr">
        <s:is>
          <s:t>Prova e kërkuar nga backlog-u: Visual diff evidence
Kriteri për t'u verifikuar (nuk deklarohet i kaluar): Intentional changes reviewed; no clipped/overlapping/unreadable states; reduced-motion snapshots stable.
Pranimi kërkon edhe gate-et: RG-17. Asnjë gate nuk është shënuar Passed nga ky audit.</s:t>
        </s:is>
      </s:c>
    </s:row>
    <s:row r="91" ht="72" customHeight="1" s="48">
      <s:c r="A91" s="42" t="inlineStr">
        <s:is>
          <s:t>S8-B12</s:t>
        </s:is>
      </s:c>
      <s:c r="B91" s="42" t="inlineStr">
        <s:is>
          <s:t>S8</s:t>
        </s:is>
      </s:c>
      <s:c r="C91" s="42" t="inlineStr">
        <s:is>
          <s:t>P0</s:t>
        </s:is>
      </s:c>
      <s:c r="D91" s="42" t="inlineStr">
        <s:is>
          <s:t>In Progress</s:t>
        </s:is>
      </s:c>
      <s:c r="E91" s="42" t="inlineStr">
        <s:is>
          <s:t>Pjesërisht — kërkon zhvillim</s:t>
        </s:is>
      </s:c>
      <s:c r="F91" s="42" t="inlineStr">
        <s:is>
          <s:t>Programmer B</s:t>
        </s:is>
      </s:c>
      <s:c r="G91" s="42" t="inlineStr">
        <s:is>
          <s:t>Programmer A</s:t>
        </s:is>
      </s:c>
      <s:c r="H91" s="42" t="inlineStr">
        <s:is>
          <s:t>Validate first-run, empty and degraded journeys with fresh accounts</s:t>
        </s:is>
      </s:c>
      <s:c r="I91" s="42" t="inlineStr">
        <s:is>
          <s:t>Mbeten revoked account, quota exhausted/provider degraded browser suite dhe UAT me përdorues real.</s:t>
        </s:is>
      </s:c>
      <s:c r="J91" s="42" t="inlineStr">
        <s:is>
          <s:t>RG-17</s:t>
        </s:is>
      </s:c>
      <s:c r="K91" s="42" t="inlineStr">
        <s:is>
          <s:t>Prova e kërkuar nga backlog-u: Fresh-account UAT
Kriteri për t'u verifikuar (nuk deklarohet i kaluar): Every state has truthful explanation and next action; no fake success; saved authoring remains available where safe.
DA-06: Llogari ekzistuese me trial policy të padisponueshme: login lejohet kur auth punon; signup jep gabim të qartë; recovery ndjek vetëm gatishmërinë e emailit/auth.
Pranimi kërkon edhe gate-et: RG-17. Asnjë gate nuk është shënuar Passed nga ky audit.</s:t>
        </s:is>
      </s:c>
    </s:row>
    <s:row r="92" ht="72" customHeight="1" s="48">
      <s:c r="A92" s="42" t="inlineStr">
        <s:is>
          <s:t>S0-B02</s:t>
        </s:is>
      </s:c>
      <s:c r="B92" s="42" t="inlineStr">
        <s:is>
          <s:t>S0</s:t>
        </s:is>
      </s:c>
      <s:c r="C92" s="42" t="inlineStr">
        <s:is>
          <s:t>P1</s:t>
        </s:is>
      </s:c>
      <s:c r="D92" s="42" t="inlineStr">
        <s:is>
          <s:t>In Progress</s:t>
        </s:is>
      </s:c>
      <s:c r="E92" s="42" t="inlineStr">
        <s:is>
          <s:t>Pjesërisht — kërkon zhvillim</s:t>
        </s:is>
      </s:c>
      <s:c r="F92" s="42" t="inlineStr">
        <s:is>
          <s:t>Programmer B</s:t>
        </s:is>
      </s:c>
      <s:c r="G92" s="42" t="inlineStr">
        <s:is>
          <s:t>Programmer A</s:t>
        </s:is>
      </s:c>
      <s:c r="H92" s="42" t="inlineStr">
        <s:is>
          <s:t>Create visual tokens and base components</s:t>
        </s:is>
      </s:c>
      <s:c r="I92" s="42" t="inlineStr">
        <s:is>
          <s:t>Ka ende konstante stili në komponentë; duhet rishikim kontrasti/dark mode dhe provë vizuale e versionit aktual.</s:t>
        </s:is>
      </s:c>
      <s:c r="J92" s="42" t="inlineStr">
        <s:is>
          <s:t>RG-14</s:t>
        </s:is>
      </s:c>
      <s:c r="K92" s="42" t="inlineStr">
        <s:is>
          <s:t>Prova e kërkuar nga backlog-u: Vitest/component visual QA
Kriteri për t'u verifikuar (nuk deklarohet i kaluar): Tokens drive landing and dashboard; no random feature-level design constants; contrast baseline passes; dark mode has no unreadable states.
Pranimi kërkon edhe gate-et: RG-14. Asnjë gate nuk është shënuar Passed nga ky audit.</s:t>
        </s:is>
      </s:c>
    </s:row>
    <s:row r="93" ht="72" customHeight="1" s="48">
      <s:c r="A93" s="42" t="inlineStr">
        <s:is>
          <s:t>S1-B03</s:t>
        </s:is>
      </s:c>
      <s:c r="B93" s="42" t="inlineStr">
        <s:is>
          <s:t>S1</s:t>
        </s:is>
      </s:c>
      <s:c r="C93" s="42" t="inlineStr">
        <s:is>
          <s:t>P1</s:t>
        </s:is>
      </s:c>
      <s:c r="D93" s="42" t="inlineStr">
        <s:is>
          <s:t>In Progress</s:t>
        </s:is>
      </s:c>
      <s:c r="E93" s="42" t="inlineStr">
        <s:is>
          <s:t>Pjesërisht — kërkon zhvillim</s:t>
        </s:is>
      </s:c>
      <s:c r="F93" s="42" t="inlineStr">
        <s:is>
          <s:t>Programmer B</s:t>
        </s:is>
      </s:c>
      <s:c r="G93" s="42" t="inlineStr">
        <s:is>
          <s:t>Programmer A</s:t>
        </s:is>
      </s:c>
      <s:c r="H93" s="42" t="inlineStr">
        <s:is>
          <s:t>Build brand settings workspace</s:t>
        </s:is>
      </s:c>
      <s:c r="I93" s="42" t="inlineStr">
        <s:is>
          <s:t>Mbeten lifecycle/status/goals i plotë dhe prova konkurrence/UI fault; language switching është post-GA.</s:t>
        </s:is>
      </s:c>
      <s:c r="J93" s="42" t="inlineStr">
        <s:is>
          <s:t>RG-14</s:t>
        </s:is>
      </s:c>
      <s:c r="K93" s="42" t="inlineStr">
        <s:is>
          <s:t>Prova e kërkuar nga backlog-u: Component + E2E edit tests
Kriteri për t'u verifikuar (nuk deklarohet i kaluar): Concurrent update conflict shown without silent overwrite; save/error states complete.
Pranimi kërkon edhe gate-et: RG-14. Asnjë gate nuk është shënuar Passed nga ky audit.</s:t>
        </s:is>
      </s:c>
    </s:row>
    <s:row r="94" ht="72" customHeight="1" s="48">
      <s:c r="A94" s="42" t="inlineStr">
        <s:is>
          <s:t>S1-B07</s:t>
        </s:is>
      </s:c>
      <s:c r="B94" s="42" t="inlineStr">
        <s:is>
          <s:t>S1</s:t>
        </s:is>
      </s:c>
      <s:c r="C94" s="42" t="inlineStr">
        <s:is>
          <s:t>P1</s:t>
        </s:is>
      </s:c>
      <s:c r="D94" s="42" t="inlineStr">
        <s:is>
          <s:t>In Progress</s:t>
        </s:is>
      </s:c>
      <s:c r="E94" s="42" t="inlineStr">
        <s:is>
          <s:t>Pjesërisht — kërkon zhvillim</s:t>
        </s:is>
      </s:c>
      <s:c r="F94" s="42" t="inlineStr">
        <s:is>
          <s:t>Programmer B</s:t>
        </s:is>
      </s:c>
      <s:c r="G94" s="42" t="inlineStr">
        <s:is>
          <s:t>Programmer A</s:t>
        </s:is>
      </s:c>
      <s:c r="H94" s="42" t="inlineStr">
        <s:is>
          <s:t>Standardize app async/error states</s:t>
        </s:is>
      </s:c>
      <s:c r="I94" s="42" t="inlineStr">
        <s:is>
          <s:t>Mungon Problem contract i unifikuar me request-id të kopjueshëm dhe state matrix tests.</s:t>
        </s:is>
      </s:c>
      <s:c r="J94" s="42" t="inlineStr">
        <s:is>
          <s:t>RG-14</s:t>
        </s:is>
      </s:c>
      <s:c r="K94" s="42" t="inlineStr">
        <s:is>
          <s:t>Prova e kërkuar nga backlog-u: Component state matrix tests
Kriteri për t'u verifikuar (nuk deklarohet i kaluar): Core S1 pages never show raw stack/provider errors; request_id copy action available on support-worthy error.
Pranimi kërkon edhe gate-et: RG-14. Asnjë gate nuk është shënuar Passed nga ky audit.</s:t>
        </s:is>
      </s:c>
    </s:row>
    <s:row r="95" ht="72" customHeight="1" s="48">
      <s:c r="A95" s="42" t="inlineStr">
        <s:is>
          <s:t>S1-B08</s:t>
        </s:is>
      </s:c>
      <s:c r="B95" s="42" t="inlineStr">
        <s:is>
          <s:t>S1</s:t>
        </s:is>
      </s:c>
      <s:c r="C95" s="42" t="inlineStr">
        <s:is>
          <s:t>P1</s:t>
        </s:is>
      </s:c>
      <s:c r="D95" s="42" t="inlineStr">
        <s:is>
          <s:t>In Progress</s:t>
        </s:is>
      </s:c>
      <s:c r="E95" s="42" t="inlineStr">
        <s:is>
          <s:t>Pjesërisht — kërkon zhvillim</s:t>
        </s:is>
      </s:c>
      <s:c r="F95" s="42" t="inlineStr">
        <s:is>
          <s:t>Programmer B</s:t>
        </s:is>
      </s:c>
      <s:c r="G95" s="42" t="inlineStr">
        <s:is>
          <s:t>Programmer A</s:t>
        </s:is>
      </s:c>
      <s:c r="H95" s="42" t="inlineStr">
        <s:is>
          <s:t>Mobile polish for onboarding/team/brand</s:t>
        </s:is>
      </s:c>
      <s:c r="I95" s="42" t="inlineStr">
        <s:is>
          <s:t>Rishiko onboarding/brand në 360px, tablet, keyboard dhe screen reader; arkivo raport sipas breakpoint-it. Team nuk është në scope-in aktual; prova Chromium 390px nuk e mbyll të gjithë matricën.</s:t>
        </s:is>
      </s:c>
      <s:c r="J95" s="42" t="inlineStr">
        <s:is>
          <s:t>RG-14</s:t>
        </s:is>
      </s:c>
      <s:c r="K95" s="42" t="inlineStr">
        <s:is>
          <s:t>Prova e kërkuar nga backlog-u: Playwright viewport + axe smoke
Kriteri për t'u verifikuar (nuk deklarohet i kaluar): No horizontal overflow; dialogs/forms usable by keyboard; critical controls reachable mobile.
Pranimi kërkon edhe gate-et: RG-14. Asnjë gate nuk është shënuar Passed nga ky audit.</s:t>
        </s:is>
      </s:c>
    </s:row>
    <s:row r="96" ht="72" customHeight="1" s="48">
      <s:c r="A96" s="42" t="inlineStr">
        <s:is>
          <s:t>S2-B03</s:t>
        </s:is>
      </s:c>
      <s:c r="B96" s="42" t="inlineStr">
        <s:is>
          <s:t>S2</s:t>
        </s:is>
      </s:c>
      <s:c r="C96" s="42" t="inlineStr">
        <s:is>
          <s:t>P1</s:t>
        </s:is>
      </s:c>
      <s:c r="D96" s="42" t="inlineStr">
        <s:is>
          <s:t>In Progress</s:t>
        </s:is>
      </s:c>
      <s:c r="E96" s="42" t="inlineStr">
        <s:is>
          <s:t>Pjesërisht — kërkon zhvillim</s:t>
        </s:is>
      </s:c>
      <s:c r="F96" s="42" t="inlineStr">
        <s:is>
          <s:t>Programmer B</s:t>
        </s:is>
      </s:c>
      <s:c r="G96" s="42" t="inlineStr">
        <s:is>
          <s:t>Programmer A</s:t>
        </s:is>
      </s:c>
      <s:c r="H96" s="42" t="inlineStr">
        <s:is>
          <s:t>Build asset detail and metadata editor</s:t>
        </s:is>
      </s:c>
      <s:c r="I96" s="42" t="inlineStr">
        <s:is>
          <s:t>Mbeten variantet/crop processing, object storage production dhe suite më e gjerë metadata/delete/concurrency; publikimet tashmë in-flight kërkojnë reconciliation operacional.</s:t>
        </s:is>
      </s:c>
      <s:c r="J96" s="42" t="inlineStr">
        <s:is>
          <s:t>RG-05</s:t>
        </s:is>
      </s:c>
      <s:c r="K96" s="42" t="inlineStr">
        <s:is>
          <s:t>Prova e kërkuar nga backlog-u: E2E metadata/delete tests
Kriteri për t'u verifikuar (nuk deklarohet i kaluar): Delete blocked/explained when publishable content depends on asset; metadata edits persist.
DA-11: Revoko të drejtat e asset-it në postim të planifikuar, verifiko bllokimin e publikimit; provo purge/resume dhe përjashtimet e dokumentuara të ruajtjes.
DA-16: Foto katrore/portrait/landscape në të dy kanalet: krahaso preview me dimensionet e asset-it të dërguar; golden render për composer kur zbatohet.
Pranimi kërkon edhe gate-et: RG-05. Asnjë gate nuk është shënuar Passed nga ky audit.</s:t>
        </s:is>
      </s:c>
    </s:row>
    <s:row r="97" ht="72" customHeight="1" s="48">
      <s:c r="A97" s="42" t="inlineStr">
        <s:is>
          <s:t>S2-B07</s:t>
        </s:is>
      </s:c>
      <s:c r="B97" s="42" t="inlineStr">
        <s:is>
          <s:t>S2</s:t>
        </s:is>
      </s:c>
      <s:c r="C97" s="42" t="inlineStr">
        <s:is>
          <s:t>P1</s:t>
        </s:is>
      </s:c>
      <s:c r="D97" s="42" t="inlineStr">
        <s:is>
          <s:t>In Progress</s:t>
        </s:is>
      </s:c>
      <s:c r="E97" s="42" t="inlineStr">
        <s:is>
          <s:t>Pjesërisht — kërkon zhvillim</s:t>
        </s:is>
      </s:c>
      <s:c r="F97" s="42" t="inlineStr">
        <s:is>
          <s:t>Programmer B</s:t>
        </s:is>
      </s:c>
      <s:c r="G97" s="42" t="inlineStr">
        <s:is>
          <s:t>Programmer A</s:t>
        </s:is>
      </s:c>
      <s:c r="H97" s="42" t="inlineStr">
        <s:is>
          <s:t>Build import/sync progress and history</s:t>
        </s:is>
      </s:c>
      <s:c r="I97" s="42" t="inlineStr">
        <s:is>
          <s:t>Mbeten job/progress/history durable, crash resume dhe terminal-auth/retry fixtures.</s:t>
        </s:is>
      </s:c>
      <s:c r="J97" s="42" t="inlineStr">
        <s:is>
          <s:t>RG-04,RG-14</s:t>
        </s:is>
      </s:c>
      <s:c r="K97" s="42" t="inlineStr">
        <s:is>
          <s:t>Prova e kërkuar nga backlog-u: E2E sync state fixtures
Kriteri për t'u verifikuar (nuk deklarohet i kaluar): Page remains usable during sync; retry disabled for terminal auth until reconnect; history refreshes.
DA-05: Import nga faqja A, lidh faqen B, import i ri: lista dhe konteksti i B përmbajnë vetëm burimet e zgjedhura, me provenance të ruajtur.
Pranimi kërkon edhe gate-et: RG-04,RG-14. Asnjë gate nuk është shënuar Passed nga ky audit.</s:t>
        </s:is>
      </s:c>
    </s:row>
    <s:row r="98" ht="72" customHeight="1" s="48">
      <s:c r="A98" s="42" t="inlineStr">
        <s:is>
          <s:t>S2-B09</s:t>
        </s:is>
      </s:c>
      <s:c r="B98" s="42" t="inlineStr">
        <s:is>
          <s:t>S2</s:t>
        </s:is>
      </s:c>
      <s:c r="C98" s="42" t="inlineStr">
        <s:is>
          <s:t>P1</s:t>
        </s:is>
      </s:c>
      <s:c r="D98" s="42" t="inlineStr">
        <s:is>
          <s:t>In Progress</s:t>
        </s:is>
      </s:c>
      <s:c r="E98" s="42" t="inlineStr">
        <s:is>
          <s:t>Pjesërisht — kërkon zhvillim</s:t>
        </s:is>
      </s:c>
      <s:c r="F98" s="42" t="inlineStr">
        <s:is>
          <s:t>Programmer B</s:t>
        </s:is>
      </s:c>
      <s:c r="G98" s="42" t="inlineStr">
        <s:is>
          <s:t>Programmer A</s:t>
        </s:is>
      </s:c>
      <s:c r="H98" s="42" t="inlineStr">
        <s:is>
          <s:t>Run gallery/integration mobile and a11y pass</s:t>
        </s:is>
      </s:c>
      <s:c r="I98" s="42" t="inlineStr">
        <s:is>
          <s:t>Provo me keyboard/focus dhe 360px modale upload, zgjedhje faqesh, cursor, detaje fotografie dhe reconnect; axe për listat ka kaluar lokalisht, OAuth real/mobile mbetet i hapur.</s:t>
        </s:is>
      </s:c>
      <s:c r="J98" s="42" t="inlineStr">
        <s:is>
          <s:t>RG-14</s:t>
        </s:is>
      </s:c>
      <s:c r="K98" s="42" t="inlineStr">
        <s:is>
          <s:t>Prova e kërkuar nga backlog-u: axe + mobile Playwright
Kriteri për t'u verifikuar (nuk deklarohet i kaluar): No critical a11y issue; upload/control hit targets usable; images lazy-load with dimensions.
Pranimi kërkon edhe gate-et: RG-14. Asnjë gate nuk është shënuar Passed nga ky audit.</s:t>
        </s:is>
      </s:c>
    </s:row>
    <s:row r="99" ht="72" customHeight="1" s="48">
      <s:c r="A99" s="42" t="inlineStr">
        <s:is>
          <s:t>S3-B05</s:t>
        </s:is>
      </s:c>
      <s:c r="B99" s="42" t="inlineStr">
        <s:is>
          <s:t>S3</s:t>
        </s:is>
      </s:c>
      <s:c r="C99" s="42" t="inlineStr">
        <s:is>
          <s:t>P1</s:t>
        </s:is>
      </s:c>
      <s:c r="D99" s="42" t="inlineStr">
        <s:is>
          <s:t>In Progress</s:t>
        </s:is>
      </s:c>
      <s:c r="E99" s="42" t="inlineStr">
        <s:is>
          <s:t>Pjesërisht — kërkon zhvillim</s:t>
        </s:is>
      </s:c>
      <s:c r="F99" s="42" t="inlineStr">
        <s:is>
          <s:t>Programmer B</s:t>
        </s:is>
      </s:c>
      <s:c r="G99" s="42" t="inlineStr">
        <s:is>
          <s:t>Programmer A</s:t>
        </s:is>
      </s:c>
      <s:c r="H99" s="42" t="inlineStr">
        <s:is>
          <s:t>Build recommended asset picker</s:t>
        </s:is>
      </s:c>
      <s:c r="I99" s="42" t="inlineStr">
        <s:is>
          <s:t>Mungojnë AI/retrieval recommendations, why-selected, usage recency dhe pinned generation spec.</s:t>
        </s:is>
      </s:c>
      <s:c r="J99" s="42" t="inlineStr">
        <s:is>
          <s:t>RG-05,RG-14</s:t>
        </s:is>
      </s:c>
      <s:c r="K99" s="42" t="inlineStr">
        <s:is>
          <s:t>Prova e kërkuar nga backlog-u: E2E asset selection cases
Kriteri për t'u verifikuar (nuk deklarohet i kaluar): Only brand assets selectable; user pin persists into generation spec; no selection when asset processing incomplete.
Pranimi kërkon edhe gate-et: RG-05,RG-14. Asnjë gate nuk është shënuar Passed nga ky audit.</s:t>
        </s:is>
      </s:c>
    </s:row>
    <s:row r="100" ht="72" customHeight="1" s="48">
      <s:c r="A100" s="42" t="inlineStr">
        <s:is>
          <s:t>S3-B08</s:t>
        </s:is>
      </s:c>
      <s:c r="B100" s="42" t="inlineStr">
        <s:is>
          <s:t>S3</s:t>
        </s:is>
      </s:c>
      <s:c r="C100" s="42" t="inlineStr">
        <s:is>
          <s:t>P1</s:t>
        </s:is>
      </s:c>
      <s:c r="D100" s="42" t="inlineStr">
        <s:is>
          <s:t>In Progress</s:t>
        </s:is>
      </s:c>
      <s:c r="E100" s="42" t="inlineStr">
        <s:is>
          <s:t>Pjesërisht — kërkon zhvillim</s:t>
        </s:is>
      </s:c>
      <s:c r="F100" s="42" t="inlineStr">
        <s:is>
          <s:t>Programmer B</s:t>
        </s:is>
      </s:c>
      <s:c r="G100" s="42" t="inlineStr">
        <s:is>
          <s:t>Programmer A</s:t>
        </s:is>
      </s:c>
      <s:c r="H100" s="42" t="inlineStr">
        <s:is>
          <s:t>Expose facts/assets/QA provenance in review</s:t>
        </s:is>
      </s:c>
      <s:c r="I100" s="42" t="inlineStr">
        <s:is>
          <s:t>Mungojnë claim-level fact refs, offer validity, asset lineage, prompt/run metadata dhe QA provenance drawer.</s:t>
        </s:is>
      </s:c>
      <s:c r="J100" s="42" t="inlineStr">
        <s:is>
          <s:t>RG-06</s:t>
        </s:is>
      </s:c>
      <s:c r="K100" s="42" t="inlineStr">
        <s:is>
          <s:t>Prova e kërkuar nga backlog-u: Component/E2E provenance cases
Kriteri për t'u verifikuar (nuk deklarohet i kaluar): Reviewer can identify source for material commercial claim; expired offer warning blocks approval state later.
Pranimi kërkon edhe gate-et: RG-06. Asnjë gate nuk është shënuar Passed nga ky audit.</s:t>
        </s:is>
      </s:c>
    </s:row>
    <s:row r="101" ht="72" customHeight="1" s="48">
      <s:c r="A101" s="42" t="inlineStr">
        <s:is>
          <s:t>S3-B09</s:t>
        </s:is>
      </s:c>
      <s:c r="B101" s="42" t="inlineStr">
        <s:is>
          <s:t>S3</s:t>
        </s:is>
      </s:c>
      <s:c r="C101" s="42" t="inlineStr">
        <s:is>
          <s:t>P1</s:t>
        </s:is>
      </s:c>
      <s:c r="D101" s="42" t="inlineStr">
        <s:is>
          <s:t>In Progress</s:t>
        </s:is>
      </s:c>
      <s:c r="E101" s="42" t="inlineStr">
        <s:is>
          <s:t>Pjesërisht — kërkon zhvillim</s:t>
        </s:is>
      </s:c>
      <s:c r="F101" s="42" t="inlineStr">
        <s:is>
          <s:t>Programmer B</s:t>
        </s:is>
      </s:c>
      <s:c r="G101" s="42" t="inlineStr">
        <s:is>
          <s:t>Programmer A</s:t>
        </s:is>
      </s:c>
      <s:c r="H101" s="42" t="inlineStr">
        <s:is>
          <s:t>Build reject/regenerate targeted controls</s:t>
        </s:is>
      </s:c>
      <s:c r="I101" s="42" t="inlineStr">
        <s:is>
          <s:t>Mungojnë typed targeted rewrite/regenerate-image/CTA commands, immutable full history dhe credit impact.</s:t>
        </s:is>
      </s:c>
      <s:c r="J101" s="42" t="inlineStr">
        <s:is>
          <s:t>RG-06,RG-08</s:t>
        </s:is>
      </s:c>
      <s:c r="K101" s="42" t="inlineStr">
        <s:is>
          <s:t>Prova e kërkuar nga backlog-u: E2E targeted revision tests
Kriteri për t'u verifikuar (nuk deklarohet i kaluar): Targeted action changes only intended fields; old version stays immutable; credit impact shown/validated.
Pranimi kërkon edhe gate-et: RG-06,RG-08. Asnjë gate nuk është shënuar Passed nga ky audit.</s:t>
        </s:is>
      </s:c>
    </s:row>
    <s:row r="102" ht="72" customHeight="1" s="48">
      <s:c r="A102" s="42" t="inlineStr">
        <s:is>
          <s:t>S4-B05</s:t>
        </s:is>
      </s:c>
      <s:c r="B102" s="42" t="inlineStr">
        <s:is>
          <s:t>S4</s:t>
        </s:is>
      </s:c>
      <s:c r="C102" s="42" t="inlineStr">
        <s:is>
          <s:t>P1</s:t>
        </s:is>
      </s:c>
      <s:c r="D102" s="42" t="inlineStr">
        <s:is>
          <s:t>In Progress</s:t>
        </s:is>
      </s:c>
      <s:c r="E102" s="42" t="inlineStr">
        <s:is>
          <s:t>Pjesërisht — kërkon zhvillim</s:t>
        </s:is>
      </s:c>
      <s:c r="F102" s="42" t="inlineStr">
        <s:is>
          <s:t>Programmer B</s:t>
        </s:is>
      </s:c>
      <s:c r="G102" s="42" t="inlineStr">
        <s:is>
          <s:t>Programmer A</s:t>
        </s:is>
      </s:c>
      <s:c r="H102" s="42" t="inlineStr">
        <s:is>
          <s:t>Build notification center and badges</s:t>
        </s:is>
      </s:c>
      <s:c r="I102" s="42" t="inlineStr">
        <s:is>
          <s:t>Nuk ka notification feed me DB records/unread per item/dedupe/mark-read API; badge i postimeve nuk është notification center i plotë.</s:t>
        </s:is>
      </s:c>
      <s:c r="J102" s="42" t="inlineStr">
        <s:is>
          <s:t>RG-10,RG-14</s:t>
        </s:is>
      </s:c>
      <s:c r="K102" s="42" t="inlineStr">
        <s:is>
          <s:t>Prova e kërkuar nga backlog-u: Component/E2E notification tests
Kriteri për t'u verifikuar (nuk deklarohet i kaluar): Deduped items render once; inaccessible resource deep link fails safely; mobile usable.
Pranimi kërkon edhe gate-et: RG-10,RG-14. Asnjë gate nuk është shënuar Passed nga ky audit.</s:t>
        </s:is>
      </s:c>
    </s:row>
    <s:row r="103" ht="72" customHeight="1" s="48">
      <s:c r="A103" s="42" t="inlineStr">
        <s:is>
          <s:t>S4-B07</s:t>
        </s:is>
      </s:c>
      <s:c r="B103" s="42" t="inlineStr">
        <s:is>
          <s:t>S4</s:t>
        </s:is>
      </s:c>
      <s:c r="C103" s="42" t="inlineStr">
        <s:is>
          <s:t>P1</s:t>
        </s:is>
      </s:c>
      <s:c r="D103" s="42" t="inlineStr">
        <s:is>
          <s:t>In Progress</s:t>
        </s:is>
      </s:c>
      <s:c r="E103" s="42" t="inlineStr">
        <s:is>
          <s:t>Pjesërisht — kërkon zhvillim</s:t>
        </s:is>
      </s:c>
      <s:c r="F103" s="42" t="inlineStr">
        <s:is>
          <s:t>Programmer B</s:t>
        </s:is>
      </s:c>
      <s:c r="G103" s="42" t="inlineStr">
        <s:is>
          <s:t>Programmer A</s:t>
        </s:is>
      </s:c>
      <s:c r="H103" s="42" t="inlineStr">
        <s:is>
          <s:t>Complete content activity/version timeline</s:t>
        </s:is>
      </s:c>
      <s:c r="I103" s="42" t="inlineStr">
        <s:is>
          <s:t>Mbetet endpoint/UI timeline i unifikuar generation/approval/schedule/publication dhe E2E që kontrollon renditjen/redaction.</s:t>
        </s:is>
      </s:c>
      <s:c r="J103" s="42" t="inlineStr">
        <s:is>
          <s:t>RG-10</s:t>
        </s:is>
      </s:c>
      <s:c r="K103" s="42" t="inlineStr">
        <s:is>
          <s:t>Prova e kërkuar nga backlog-u: E2E timeline fixtures
Kriteri për t'u verifikuar (nuk deklarohet i kaluar): Timeline ordered and references immutable versions; actor/time shown; sensitive internal fields omitted.
DA-07: Ndrysho fotografi/tekst/kanal pas miratimit; versioni i vjetër mbetet identik dhe approval i vjetër nuk autorizon versionin e ri; provo konkurencën.
Pranimi kërkon edhe gate-et: RG-10. Asnjë gate nuk është shënuar Passed nga ky audit.</s:t>
        </s:is>
      </s:c>
    </s:row>
    <s:row r="104" ht="72" customHeight="1" s="48">
      <s:c r="A104" s="42" t="inlineStr">
        <s:is>
          <s:t>S5-A09</s:t>
        </s:is>
      </s:c>
      <s:c r="B104" s="42" t="inlineStr">
        <s:is>
          <s:t>S5</s:t>
        </s:is>
      </s:c>
      <s:c r="C104" s="42" t="inlineStr">
        <s:is>
          <s:t>P1</s:t>
        </s:is>
      </s:c>
      <s:c r="D104" s="42" t="inlineStr">
        <s:is>
          <s:t>In Progress</s:t>
        </s:is>
      </s:c>
      <s:c r="E104" s="42" t="inlineStr">
        <s:is>
          <s:t>Pjesërisht — kërkon zhvillim</s:t>
        </s:is>
      </s:c>
      <s:c r="F104" s="42" t="inlineStr">
        <s:is>
          <s:t>Programmer A</s:t>
        </s:is>
      </s:c>
      <s:c r="G104" s="42" t="inlineStr">
        <s:is>
          <s:t>Programmer B</s:t>
        </s:is>
      </s:c>
      <s:c r="H104" s="42" t="inlineStr">
        <s:is>
          <s:t>Profile DB/API and add evidence-based indexes</s:t>
        </s:is>
      </s:c>
      <s:c r="I104" s="42" t="inlineStr">
        <s:is>
          <s:t>Mbeten server-side list APIs, 500+/1000 fixture, EXPLAIN/k6 report, p95/memory evidence dhe RG-11.</s:t>
        </s:is>
      </s:c>
      <s:c r="J104" s="42" t="inlineStr">
        <s:is>
          <s:t>RG-11</s:t>
        </s:is>
      </s:c>
      <s:c r="K104" s="42" t="inlineStr">
        <s:is>
          <s:t>Prova e kërkuar nga backlog-u: k6/Locust + EXPLAIN reports
Kriteri për t'u verifikuar (nuk deklarohet i kaluar): Non-AI CRUD p95 target met at staging load; no index added without query evidence; queue oldest age stable.
DA-02: Burst nga disa biznese në të njëjtin orar, dy worker-a, pa dyfishime ose uri të një biznesi; mat vonesën ndaj objektivit të planifikuar.
DA-09: Fixture 500+ asset dhe 1000 postime: mat bytes/p95/memorien; filtër/cursor nuk kalon tenant-in dhe ndryshimi i një postimi nuk rishkruan gjithë listën.
Pranimi kërkon edhe gate-et: RG-11. Asnjë gate nuk është shënuar Passed nga ky audit.</s:t>
        </s:is>
      </s:c>
    </s:row>
    <s:row r="105" ht="72" customHeight="1" s="48">
      <s:c r="A105" s="42" t="inlineStr">
        <s:is>
          <s:t>S5-B05</s:t>
        </s:is>
      </s:c>
      <s:c r="B105" s="42" t="inlineStr">
        <s:is>
          <s:t>S5</s:t>
        </s:is>
      </s:c>
      <s:c r="C105" s="42" t="inlineStr">
        <s:is>
          <s:t>P1</s:t>
        </s:is>
      </s:c>
      <s:c r="D105" s="42" t="inlineStr">
        <s:is>
          <s:t>In Progress</s:t>
        </s:is>
      </s:c>
      <s:c r="E105" s="42" t="inlineStr">
        <s:is>
          <s:t>Pjesërisht — kërkon zhvillim</s:t>
        </s:is>
      </s:c>
      <s:c r="F105" s="42" t="inlineStr">
        <s:is>
          <s:t>Programmer B</s:t>
        </s:is>
      </s:c>
      <s:c r="G105" s="42" t="inlineStr">
        <s:is>
          <s:t>Programmer A</s:t>
        </s:is>
      </s:c>
      <s:c r="H105" s="42" t="inlineStr">
        <s:is>
          <s:t>Build quota and usage visibility</s:t>
        </s:is>
      </s:c>
      <s:c r="I105" s="42" t="inlineStr">
        <s:is>
          <s:t>Mbeten refresh E2E pas gjenerimit/ngarkimit, reserved vs consumed visibility dhe copy/CTA e aprovuar për kufijtë 80/100%.</s:t>
        </s:is>
      </s:c>
      <s:c r="J105" s="42" t="inlineStr">
        <s:is>
          <s:t>RG-08</s:t>
        </s:is>
      </s:c>
      <s:c r="K105" s="42" t="inlineStr">
        <s:is>
          <s:t>Prova e kërkuar nga backlog-u: E2E usage/limit fixtures
Kriteri për t'u verifikuar (nuk deklarohet i kaluar): Values reconcile with server ledger; 80/100% states clear; refresh after generation updates.
DA-15: Për çdo plan/version provo features/limits të shfaqura kundrejt serverit, konfigurim të pavlefshëm, downgrade dhe expiry; pagesat kërkojnë sandbox më vete.
Pranimi kërkon edhe gate-et: RG-08. Asnjë gate nuk është shënuar Passed nga ky audit.</s:t>
        </s:is>
      </s:c>
    </s:row>
    <s:row r="106" ht="72" customHeight="1" s="48">
      <s:c r="A106" s="42" t="inlineStr">
        <s:is>
          <s:t>S5-B07</s:t>
        </s:is>
      </s:c>
      <s:c r="B106" s="42" t="inlineStr">
        <s:is>
          <s:t>S5</s:t>
        </s:is>
      </s:c>
      <s:c r="C106" s="42" t="inlineStr">
        <s:is>
          <s:t>P1</s:t>
        </s:is>
      </s:c>
      <s:c r="D106" s="42" t="inlineStr">
        <s:is>
          <s:t>In Progress</s:t>
        </s:is>
      </s:c>
      <s:c r="E106" s="42" t="inlineStr">
        <s:is>
          <s:t>Pjesërisht — kërkon zhvillim</s:t>
        </s:is>
      </s:c>
      <s:c r="F106" s="42" t="inlineStr">
        <s:is>
          <s:t>Programmer B</s:t>
        </s:is>
      </s:c>
      <s:c r="G106" s="42" t="inlineStr">
        <s:is>
          <s:t>Programmer A</s:t>
        </s:is>
      </s:c>
      <s:c r="H106" s="42" t="inlineStr">
        <s:is>
          <s:t>Polish conversion/performance without dark patterns</s:t>
        </s:is>
      </s:c>
      <s:c r="I106" s="42" t="inlineStr">
        <s:is>
          <s:t>Duhet content review me operator/plan të miratuar dhe matje aktuale Lighthouse/Web Vitals/reduced-motion. 2.</s:t>
        </s:is>
      </s:c>
      <s:c r="J106" s="42" t="inlineStr">
        <s:is>
          <s:t>RG-14</s:t>
        </s:is>
      </s:c>
      <s:c r="K106" s="42" t="inlineStr">
        <s:is>
          <s:t>Prova e kërkuar nga backlog-u: Lighthouse + content review
Kriteri për t'u verifikuar (nuk deklarohet i kaluar): Public pages meet agreed performance budget; motion reduced mode passes; pricing/CTA claims match product entitlements.
DA-13: Content review në local bypass dhe public verification, pa përshkrime të shërbimeve të paaktivizuara si aktive; operatori pranon versionin publik.
Pranimi kërkon edhe gate-et: RG-14. Asnjë gate nuk është shënuar Passed nga ky audit.</s:t>
        </s:is>
      </s:c>
    </s:row>
    <s:row r="107" ht="72" customHeight="1" s="48">
      <s:c r="A107" s="42" t="inlineStr">
        <s:is>
          <s:t>S6-B02</s:t>
        </s:is>
      </s:c>
      <s:c r="B107" s="42" t="inlineStr">
        <s:is>
          <s:t>S6</s:t>
        </s:is>
      </s:c>
      <s:c r="C107" s="42" t="inlineStr">
        <s:is>
          <s:t>P1</s:t>
        </s:is>
      </s:c>
      <s:c r="D107" s="42" t="inlineStr">
        <s:is>
          <s:t>In Progress</s:t>
        </s:is>
      </s:c>
      <s:c r="E107" s="42" t="inlineStr">
        <s:is>
          <s:t>Pjesërisht — kërkon zhvillim</s:t>
        </s:is>
      </s:c>
      <s:c r="F107" s="42" t="inlineStr">
        <s:is>
          <s:t>Programmer B</s:t>
        </s:is>
      </s:c>
      <s:c r="G107" s="42" t="inlineStr">
        <s:is>
          <s:t>Programmer A</s:t>
        </s:is>
      </s:c>
      <s:c r="H107" s="42" t="inlineStr">
        <s:is>
          <s:t>Build user-facing system/connection health surfaces</s:t>
        </s:is>
      </s:c>
      <s:c r="I107" s="42" t="inlineStr">
        <s:is>
          <s:t>Mungojnë provider incident feed/typed degraded matrix dhe teste outage/revoked/quota të plota.</s:t>
        </s:is>
      </s:c>
      <s:c r="J107" s="42" t="inlineStr">
        <s:is>
          <s:t>RG-10,RG-14</s:t>
        </s:is>
      </s:c>
      <s:c r="K107" s="42" t="inlineStr">
        <s:is>
          <s:t>Prova e kërkuar nga backlog-u: Degraded-mode E2E fixtures
Kriteri për t'u verifikuar (nuk deklarohet i kaluar): Provider outage leaves content editing available where possible; user sees accurate degraded capability.
Pranimi kërkon edhe gate-et: RG-10,RG-14. Asnjë gate nuk është shënuar Passed nga ky audit.</s:t>
        </s:is>
      </s:c>
    </s:row>
    <s:row r="108" ht="72" customHeight="1" s="48">
      <s:c r="A108" s="42" t="inlineStr">
        <s:is>
          <s:t>S6-B06</s:t>
        </s:is>
      </s:c>
      <s:c r="B108" s="42" t="inlineStr">
        <s:is>
          <s:t>S6</s:t>
        </s:is>
      </s:c>
      <s:c r="C108" s="42" t="inlineStr">
        <s:is>
          <s:t>P1</s:t>
        </s:is>
      </s:c>
      <s:c r="D108" s="42" t="inlineStr">
        <s:is>
          <s:t>In Progress</s:t>
        </s:is>
      </s:c>
      <s:c r="E108" s="42" t="inlineStr">
        <s:is>
          <s:t>Pjesërisht — kërkon zhvillim</s:t>
        </s:is>
      </s:c>
      <s:c r="F108" s="42" t="inlineStr">
        <s:is>
          <s:t>Programmer B</s:t>
        </s:is>
      </s:c>
      <s:c r="G108" s="42" t="inlineStr">
        <s:is>
          <s:t>Programmer A</s:t>
        </s:is>
      </s:c>
      <s:c r="H108" s="42" t="inlineStr">
        <s:is>
          <s:t>Create user help and in-product guidance baseline</s:t>
        </s:is>
      </s:c>
      <s:c r="I108" s="42" t="inlineStr">
        <s:is>
          <s:t>Duhet sinkronizim i gjithë copy me local verify bypass/Meta optional, support contact/request-ID dhe content review. CopilotPanel ende e paraqet lidhjen Meta si hap të numëruar. 2.</s:t>
        </s:is>
      </s:c>
      <s:c r="J108" s="42" t="inlineStr">
        <s:is>
          <s:t>RG-14</s:t>
        </s:is>
      </s:c>
      <s:c r="K108" s="42" t="inlineStr">
        <s:is>
          <s:t>Prova e kërkuar nga backlog-u: Content/UX review
Kriteri për t'u verifikuar (nuk deklarohet i kaluar): Help matches actual product states; no outdated permission names; support path/request ID guidance included.
DA-13: Content review në local bypass dhe public verification, pa përshkrime të shërbimeve të paaktivizuara si aktive; operatori pranon versionin publik.
Pranimi kërkon edhe gate-et: RG-14. Asnjë gate nuk është shënuar Passed nga ky audit.</s:t>
        </s:is>
      </s:c>
    </s:row>
    <s:row r="109" ht="72" customHeight="1" s="48">
      <s:c r="A109" s="42" t="inlineStr">
        <s:is>
          <s:t>S6-B13</s:t>
        </s:is>
      </s:c>
      <s:c r="B109" s="42" t="inlineStr">
        <s:is>
          <s:t>S6</s:t>
        </s:is>
      </s:c>
      <s:c r="C109" s="42" t="inlineStr">
        <s:is>
          <s:t>P1</s:t>
        </s:is>
      </s:c>
      <s:c r="D109" s="42" t="inlineStr">
        <s:is>
          <s:t>In Progress</s:t>
        </s:is>
      </s:c>
      <s:c r="E109" s="42" t="inlineStr">
        <s:is>
          <s:t>Pjesërisht — kërkon zhvillim</s:t>
        </s:is>
      </s:c>
      <s:c r="F109" s="42" t="inlineStr">
        <s:is>
          <s:t>Programmer B</s:t>
        </s:is>
      </s:c>
      <s:c r="G109" s="42" t="inlineStr">
        <s:is>
          <s:t>Programmer A</s:t>
        </s:is>
      </s:c>
      <s:c r="H109" s="42" t="inlineStr">
        <s:is>
          <s:t>Build command palette and global product search</s:t>
        </s:is>
      </s:c>
      <s:c r="I109" s="42" t="inlineStr">
        <s:is>
          <s:t>Mungojnë server search me pagination, recent entities/capability action matrix dhe authz/search fixtures. 2.</s:t>
        </s:is>
      </s:c>
      <s:c r="J109" s="42" t="inlineStr">
        <s:is>
          <s:t>RG-17</s:t>
        </s:is>
      </s:c>
      <s:c r="K109" s="42" t="inlineStr">
        <s:is>
          <s:t>Prova e kërkuar nga backlog-u: E2E + authz result fixtures
Kriteri për t'u verifikuar (nuk deklarohet i kaluar): Search never exposes unauthorized org/brand items; keyboard open/navigate/close works; action availability respects capabilities.
DA-09: Fixture 500+ asset dhe 1000 postime: mat bytes/p95/memorien; filtër/cursor nuk kalon tenant-in dhe ndryshimi i një postimi nuk rishkruan gjithë listën.
Pranimi kërkon edhe gate-et: RG-17. Asnjë gate nuk është shënuar Passed nga ky audit.</s:t>
        </s:is>
      </s:c>
    </s:row>
    <s:row r="110" ht="72" customHeight="1" s="48">
      <s:c r="A110" s="42" t="inlineStr">
        <s:is>
          <s:t>S7-A11</s:t>
        </s:is>
      </s:c>
      <s:c r="B110" s="42" t="inlineStr">
        <s:is>
          <s:t>S7</s:t>
        </s:is>
      </s:c>
      <s:c r="C110" s="42" t="inlineStr">
        <s:is>
          <s:t>P1</s:t>
        </s:is>
      </s:c>
      <s:c r="D110" s="42" t="inlineStr">
        <s:is>
          <s:t>In Progress</s:t>
        </s:is>
      </s:c>
      <s:c r="E110" s="42" t="inlineStr">
        <s:is>
          <s:t>Pjesërisht — kërkon zhvillim</s:t>
        </s:is>
      </s:c>
      <s:c r="F110" s="42" t="inlineStr">
        <s:is>
          <s:t>Programmer A</s:t>
        </s:is>
      </s:c>
      <s:c r="G110" s="42" t="inlineStr">
        <s:is>
          <s:t>Programmer B</s:t>
        </s:is>
      </s:c>
      <s:c r="H110" s="42" t="inlineStr">
        <s:is>
          <s:t>Implement server-authoritative feature flag service</s:t>
        </s:is>
      </s:c>
      <s:c r="I110" s="42" t="inlineStr">
        <s:is>
          <s:t>Nuk ka feature-flag service me cohort/owner/expiry/audit/kill-switch administration apo typed evaluated flag tests.</s:t>
        </s:is>
      </s:c>
      <s:c r="J110" s="42" t="inlineStr">
        <s:is>
          <s:t>RG-18</s:t>
        </s:is>
      </s:c>
      <s:c r="K110" s="42" t="inlineStr">
        <s:is>
          <s:t>Prova e kërkuar nga backlog-u: Unit + authz tests
Kriteri për t'u verifikuar (nuk deklarohet i kaluar): Unknown flag fails to configured safe default; client cannot enable server-restricted feature; expired flags surfaced to admin.
Pranimi kërkon edhe gate-et: RG-18. Asnjë gate nuk është shënuar Passed nga ky audit.</s:t>
        </s:is>
      </s:c>
    </s:row>
    <s:row r="111" ht="72" customHeight="1" s="48">
      <s:c r="A111" s="42" t="inlineStr">
        <s:is>
          <s:t>S7-B02</s:t>
        </s:is>
      </s:c>
      <s:c r="B111" s="42" t="inlineStr">
        <s:is>
          <s:t>S7</s:t>
        </s:is>
      </s:c>
      <s:c r="C111" s="42" t="inlineStr">
        <s:is>
          <s:t>P1</s:t>
        </s:is>
      </s:c>
      <s:c r="D111" s="42" t="inlineStr">
        <s:is>
          <s:t>In Progress</s:t>
        </s:is>
      </s:c>
      <s:c r="E111" s="42" t="inlineStr">
        <s:is>
          <s:t>Pjesërisht — kërkon zhvillim</s:t>
        </s:is>
      </s:c>
      <s:c r="F111" s="42" t="inlineStr">
        <s:is>
          <s:t>Programmer B</s:t>
        </s:is>
      </s:c>
      <s:c r="G111" s="42" t="inlineStr">
        <s:is>
          <s:t>Programmer A</s:t>
        </s:is>
      </s:c>
      <s:c r="H111" s="42" t="inlineStr">
        <s:is>
          <s:t>Build brand-aware content template library</s:t>
        </s:is>
      </s:c>
      <s:c r="I111" s="42" t="inlineStr">
        <s:is>
          <s:t>Mungojnë versionim/brand substitution vetëm me verified facts, vertical/format completeness dhe policy/E2E fixtures.</s:t>
        </s:is>
      </s:c>
      <s:c r="J111" s="42" t="inlineStr">
        <s:is>
          <s:t>RG-16,RG-17</s:t>
        </s:is>
      </s:c>
      <s:c r="K111" s="42" t="inlineStr">
        <s:is>
          <s:t>Prova e kërkuar nga backlog-u: Component + policy tests
Kriteri për t'u verifikuar (nuk deklarohet i kaluar): Template cannot inject unsupported claims; brand data fills only verified fields; mobile preview works.
Pranimi kërkon edhe gate-et: RG-16,RG-17. Asnjë gate nuk është shënuar Passed nga ky audit.</s:t>
        </s:is>
      </s:c>
    </s:row>
    <s:row r="112" ht="72" customHeight="1" s="48">
      <s:c r="A112" s="42" t="inlineStr">
        <s:is>
          <s:t>S7-B06</s:t>
        </s:is>
      </s:c>
      <s:c r="B112" s="42" t="inlineStr">
        <s:is>
          <s:t>S7</s:t>
        </s:is>
      </s:c>
      <s:c r="C112" s="42" t="inlineStr">
        <s:is>
          <s:t>P1</s:t>
        </s:is>
      </s:c>
      <s:c r="D112" s="42" t="inlineStr">
        <s:is>
          <s:t>In Progress</s:t>
        </s:is>
      </s:c>
      <s:c r="E112" s="42" t="inlineStr">
        <s:is>
          <s:t>Pjesërisht — kërkon zhvillim</s:t>
        </s:is>
      </s:c>
      <s:c r="F112" s="42" t="inlineStr">
        <s:is>
          <s:t>Programmer B</s:t>
        </s:is>
      </s:c>
      <s:c r="G112" s="42" t="inlineStr">
        <s:is>
          <s:t>Programmer A</s:t>
        </s:is>
      </s:c>
      <s:c r="H112" s="42" t="inlineStr">
        <s:is>
          <s:t>Build notification preference center</s:t>
        </s:is>
      </s:c>
      <s:c r="I112" s="42" t="inlineStr">
        <s:is>
          <s:t>Nuk ka event delivery që i konsumon, per-event in-app/email matrix, mandatory security notices ose dedupe integration tests.</s:t>
        </s:is>
      </s:c>
      <s:c r="J112" s="42" t="inlineStr">
        <s:is>
          <s:t>RG-17</s:t>
        </s:is>
      </s:c>
      <s:c r="K112" s="42" t="inlineStr">
        <s:is>
          <s:t>Prova e kërkuar nga backlog-u: Component + integration tests
Kriteri për t'u verifikuar (nuk deklarohet i kaluar): Preference updates scoped correctly; mandatory notice behavior documented; no duplicate toast/email spam in fixtures.
Pranimi kërkon edhe gate-et: RG-17. Asnjë gate nuk është shënuar Passed nga ky audit.</s:t>
        </s:is>
      </s:c>
    </s:row>
    <s:row r="113" ht="72" customHeight="1" s="48">
      <s:c r="A113" s="42" t="inlineStr">
        <s:is>
          <s:t>S7-B07</s:t>
        </s:is>
      </s:c>
      <s:c r="B113" s="42" t="inlineStr">
        <s:is>
          <s:t>S7</s:t>
        </s:is>
      </s:c>
      <s:c r="C113" s="42" t="inlineStr">
        <s:is>
          <s:t>P1</s:t>
        </s:is>
      </s:c>
      <s:c r="D113" s="42" t="inlineStr">
        <s:is>
          <s:t>In Progress</s:t>
        </s:is>
      </s:c>
      <s:c r="E113" s="42" t="inlineStr">
        <s:is>
          <s:t>Pjesërisht — kërkon zhvillim</s:t>
        </s:is>
      </s:c>
      <s:c r="F113" s="42" t="inlineStr">
        <s:is>
          <s:t>Programmer B</s:t>
        </s:is>
      </s:c>
      <s:c r="G113" s="42" t="inlineStr">
        <s:is>
          <s:t>Programmer A</s:t>
        </s:is>
      </s:c>
      <s:c r="H113" s="42" t="inlineStr">
        <s:is>
          <s:t>Build unified profile/org/brand settings information architecture</s:t>
        </s:is>
      </s:c>
      <s:c r="I113" s="42" t="inlineStr">
        <s:is>
          <s:t>Mungojnë organization deletion/danger zone lifecycle dhe testimi i gjithë IA; team/multi-brand është shtyrë. 2.</s:t>
        </s:is>
      </s:c>
      <s:c r="J113" s="42" t="inlineStr">
        <s:is>
          <s:t>RG-17</s:t>
        </s:is>
      </s:c>
      <s:c r="K113" s="42" t="inlineStr">
        <s:is>
          <s:t>Prova e kërkuar nga backlog-u: E2E + UX review
Kriteri për t'u verifikuar (nuk deklarohet i kaluar): No duplicate settings ownership; breadcrumb/back behavior stable; destructive actions isolated and confirmed.
DA-10: Eksport me fotografi/import/history; kontrollo manifest/checksum dhe qasjen/expiry nga llogari tjetër. Mos e paraqit JSON-in aktual si backup të plotë.
Pranimi kërkon edhe gate-et: RG-17. Asnjë gate nuk është shënuar Passed nga ky audit.</s:t>
        </s:is>
      </s:c>
    </s:row>
    <s:row r="114" ht="72" customHeight="1" s="48">
      <s:c r="A114" s="42" t="inlineStr">
        <s:is>
          <s:t>S8-B14</s:t>
        </s:is>
      </s:c>
      <s:c r="B114" s="42" t="inlineStr">
        <s:is>
          <s:t>S8</s:t>
        </s:is>
      </s:c>
      <s:c r="C114" s="42" t="inlineStr">
        <s:is>
          <s:t>P1</s:t>
        </s:is>
      </s:c>
      <s:c r="D114" s="42" t="inlineStr">
        <s:is>
          <s:t>In Progress</s:t>
        </s:is>
      </s:c>
      <s:c r="E114" s="42" t="inlineStr">
        <s:is>
          <s:t>Pjesërisht — kërkon zhvillim</s:t>
        </s:is>
      </s:c>
      <s:c r="F114" s="42" t="inlineStr">
        <s:is>
          <s:t>Programmer B</s:t>
        </s:is>
      </s:c>
      <s:c r="G114" s="42" t="inlineStr">
        <s:is>
          <s:t>Programmer A</s:t>
        </s:is>
      </s:c>
      <s:c r="H114" s="42" t="inlineStr">
        <s:is>
          <s:t>Implement Motion for Vue interaction system and reduced-motion QA</s:t>
        </s:is>
      </s:c>
      <s:c r="I114" s="42" t="inlineStr">
        <s:is>
          <s:t>Mungon system QA për panel/list/reorder/progress dhe representative-load/reduced-motion tests të build-it aktual.</s:t>
        </s:is>
      </s:c>
      <s:c r="J114" s="42" t="inlineStr">
        <s:is>
          <s:t>RG-17</s:t>
        </s:is>
      </s:c>
      <s:c r="K114" s="42" t="inlineStr">
        <s:is>
          <s:t>Prova e kërkuar nga backlog-u: Performance + a11y
Kriteri për t'u verifikuar (nuk deklarohet i kaluar): No animation blocks interaction; reduced-motion test passes; dashboard scroll/interaction remains smooth under representative load.
Pranimi kërkon edhe gate-et: RG-17. Asnjë gate nuk është shënuar Passed nga ky audit.</s:t>
        </s:is>
      </s:c>
    </s:row>
    <s:row r="115" ht="72" customHeight="1" s="48">
      <s:c r="A115" s="42" t="inlineStr">
        <s:is>
          <s:t>S2-A09</s:t>
        </s:is>
      </s:c>
      <s:c r="B115" s="42" t="inlineStr">
        <s:is>
          <s:t>S2</s:t>
        </s:is>
      </s:c>
      <s:c r="C115" s="42" t="inlineStr">
        <s:is>
          <s:t>P0</s:t>
        </s:is>
      </s:c>
      <s:c r="D115" s="42" t="inlineStr">
        <s:is>
          <s:t>Blocked</s:t>
        </s:is>
      </s:c>
      <s:c r="E115" s="42" t="inlineStr">
        <s:is>
          <s:t>Bllokuar nga varësi e jashtme</s:t>
        </s:is>
      </s:c>
      <s:c r="F115" s="42" t="inlineStr">
        <s:is>
          <s:t>Programmer A</s:t>
        </s:is>
      </s:c>
      <s:c r="G115" s="42" t="inlineStr">
        <s:is>
          <s:t>Programmer B</s:t>
        </s:is>
      </s:c>
      <s:c r="H115" s="42" t="inlineStr">
        <s:is>
          <s:t>Prepare Meta App Review evidence package</s:t>
        </s:is>
      </s:c>
      <s:c r="I115" s="42" t="inlineStr">
        <s:is>
          <s:t>Duhet Meta App i platformës nga pronari i llogarisë, konfigurim HTTPS/scopes, review/screencast, webhook/deletion callbacks dhe non-developer business smoke. Secili biznes lidhet individualisht më pas.</s:t>
        </s:is>
      </s:c>
      <s:c r="J115" s="42" t="inlineStr">
        <s:is>
          <s:t>RG-04</s:t>
        </s:is>
      </s:c>
      <s:c r="K115" s="42" t="inlineStr">
        <s:is>
          <s:t>Prova e kërkuar nga backlog-u: Manual review checklist
Kriteri për t'u verifikuar (nuk deklarohet i kaluar): Required scopes mapped to product feature; evidence package complete; status/owner tracked outside code.
Pranimi kërkon edhe gate-et: RG-04. Asnjë gate nuk është shënuar Passed nga ky audit.</s:t>
        </s:is>
      </s:c>
    </s:row>
    <s:row r="116" ht="72" customHeight="1" s="48">
      <s:c r="A116" s="42" t="inlineStr">
        <s:is>
          <s:t>S8-A03</s:t>
        </s:is>
      </s:c>
      <s:c r="B116" s="42" t="inlineStr">
        <s:is>
          <s:t>S8</s:t>
        </s:is>
      </s:c>
      <s:c r="C116" s="42" t="inlineStr">
        <s:is>
          <s:t>P0</s:t>
        </s:is>
      </s:c>
      <s:c r="D116" s="42" t="inlineStr">
        <s:is>
          <s:t>Blocked</s:t>
        </s:is>
      </s:c>
      <s:c r="E116" s="42" t="inlineStr">
        <s:is>
          <s:t>Bllokuar nga varësi e jashtme</s:t>
        </s:is>
      </s:c>
      <s:c r="F116" s="42" t="inlineStr">
        <s:is>
          <s:t>Programmer A</s:t>
        </s:is>
      </s:c>
      <s:c r="G116" s="42" t="inlineStr">
        <s:is>
          <s:t>Programmer B</s:t>
        </s:is>
      </s:c>
      <s:c r="H116" s="42" t="inlineStr">
        <s:is>
          <s:t>Close production Meta access/readiness gate</s:t>
        </s:is>
      </s:c>
      <s:c r="I116" s="42" t="inlineStr">
        <s:is>
          <s:t>Duhet Meta App i platformës nga pronari i llogarisë, konfigurim HTTPS/scopes, review/screencast, webhook/deletion callbacks dhe non-developer business smoke. Secili biznes lidhet individualisht më pas. 2.</s:t>
        </s:is>
      </s:c>
      <s:c r="J116" s="42" t="inlineStr">
        <s:is>
          <s:t>RG-04</s:t>
        </s:is>
      </s:c>
      <s:c r="K116" s="42" t="inlineStr">
        <s:is>
          <s:t>Prova e kërkuar nga backlog-u: Manual production-readiness checklist
Kriteri për t'u verifikuar (nuk deklarohet i kaluar): A non-developer eligible test/business account can connect and capability health matches expected; any external review blocker explicitly blocks RG-04.
DA-14: Facebook dhe Instagram: sukses, 429, 5xx, crash, expired token, cancel, timeout-after-write dhe dy worker-a; arkivo provider IDs pa tokenë.
Pranimi kërkon edhe gate-et: RG-04. Asnjë gate nuk është shënuar Passed nga ky audit.</s:t>
        </s:is>
      </s:c>
    </s:row>
    <s:row r="117" ht="72" customHeight="1" s="48">
      <s:c r="A117" s="42" t="inlineStr">
        <s:is>
          <s:t>S0-A03</s:t>
        </s:is>
      </s:c>
      <s:c r="B117" s="42" t="inlineStr">
        <s:is>
          <s:t>S0</s:t>
        </s:is>
      </s:c>
      <s:c r="C117" s="42" t="inlineStr">
        <s:is>
          <s:t>P0</s:t>
        </s:is>
      </s:c>
      <s:c r="D117" s="42" t="inlineStr">
        <s:is>
          <s:t>In Review</s:t>
        </s:is>
      </s:c>
      <s:c r="E117" s="42" t="inlineStr">
        <s:is>
          <s:t>Kryer në kod — pret pranim/gate</s:t>
        </s:is>
      </s:c>
      <s:c r="F117" s="42" t="inlineStr">
        <s:is>
          <s:t>Programmer A</s:t>
        </s:is>
      </s:c>
      <s:c r="G117" s="42" t="inlineStr">
        <s:is>
          <s:t>Programmer B</s:t>
        </s:is>
      </s:c>
      <s:c r="H117" s="42" t="inlineStr">
        <s:is>
          <s:t>Pin Node.js 24.20.0 and npm 11.19.0 toolchain</s:t>
        </s:is>
      </s:c>
      <s:c r="I117" s="42" t="inlineStr">
        <s:is>
          <s:t>Ekzekuto hosted GitHub Actions; Programmer B konfirmon required check dhe regjistron RG-01 para statusit Done.</s:t>
        </s:is>
      </s:c>
      <s:c r="J117" s="42" t="inlineStr">
        <s:is>
          <s:t>RG-01</s:t>
        </s:is>
      </s:c>
      <s:c r="K117" s="42" t="inlineStr">
        <s:is>
          <s:t>Fresh environment build: clean npm ci; exact toolchain, lint, typecheck, unit/integration and production build; same gate in CI; reviewer/RG-01 sign-off.</s:t>
        </s:is>
      </s:c>
    </s:row>
    <s:row r="118" ht="72" customHeight="1" s="48">
      <s:c r="A118" s="42" t="inlineStr">
        <s:is>
          <s:t>S0-A05</s:t>
        </s:is>
      </s:c>
      <s:c r="B118" s="42" t="inlineStr">
        <s:is>
          <s:t>S0</s:t>
        </s:is>
      </s:c>
      <s:c r="C118" s="42" t="inlineStr">
        <s:is>
          <s:t>P0</s:t>
        </s:is>
      </s:c>
      <s:c r="D118" s="42" t="inlineStr">
        <s:is>
          <s:t>Not Started</s:t>
        </s:is>
      </s:c>
      <s:c r="E118" s="42" t="inlineStr">
        <s:is>
          <s:t>Pa filluar</s:t>
        </s:is>
      </s:c>
      <s:c r="F118" s="42" t="inlineStr">
        <s:is>
          <s:t>Programmer A</s:t>
        </s:is>
      </s:c>
      <s:c r="G118" s="42" t="inlineStr">
        <s:is>
          <s:t>Programmer B</s:t>
        </s:is>
      </s:c>
      <s:c r="H118" s="42" t="inlineStr">
        <s:is>
          <s:t>Implement tenant DB context and RLS helpers</s:t>
        </s:is>
      </s:c>
      <s:c r="I118" s="42" t="inlineStr">
        <s:is>
          <s:t>Krijo rol runtime pa privilegje të migrimit dhe tenant context për transaksion; aktivizo RLS/policies në çdo tabelë tenant. Provo mungesën e context-it dhe cross-tenant read/write/delete.</s:t>
        </s:is>
      </s:c>
      <s:c r="J118" s="42" t="inlineStr">
        <s:is>
          <s:t>RG-02</s:t>
        </s:is>
      </s:c>
      <s:c r="K118" s="42" t="inlineStr">
        <s:is>
          <s:t>Prova e kërkuar nga backlog-u: SQL integration negative tests
Kriteri për t'u verifikuar (nuk deklarohet i kaluar): Cross-tenant query denied under runtime role; missing tenant context returns no tenant rows/fails safely.
Pranimi kërkon edhe gate-et: RG-02. Asnjë gate nuk është shënuar Passed nga ky audit.</s:t>
        </s:is>
      </s:c>
    </s:row>
    <s:row r="119" ht="72" customHeight="1" s="48">
      <s:c r="A119" s="42" t="inlineStr">
        <s:is>
          <s:t>S0-A06</s:t>
        </s:is>
      </s:c>
      <s:c r="B119" s="42" t="inlineStr">
        <s:is>
          <s:t>S0</s:t>
        </s:is>
      </s:c>
      <s:c r="C119" s="42" t="inlineStr">
        <s:is>
          <s:t>P0</s:t>
        </s:is>
      </s:c>
      <s:c r="D119" s="42" t="inlineStr">
        <s:is>
          <s:t>Not Started</s:t>
        </s:is>
      </s:c>
      <s:c r="E119" s="42" t="inlineStr">
        <s:is>
          <s:t>Pa filluar</s:t>
        </s:is>
      </s:c>
      <s:c r="F119" s="42" t="inlineStr">
        <s:is>
          <s:t>Programmer A</s:t>
        </s:is>
      </s:c>
      <s:c r="G119" s="42" t="inlineStr">
        <s:is>
          <s:t>Programmer B</s:t>
        </s:is>
      </s:c>
      <s:c r="H119" s="42" t="inlineStr">
        <s:is>
          <s:t>Build RLS CI test harness</s:t>
        </s:is>
      </s:c>
      <s:c r="I119" s="42" t="inlineStr">
        <s:is>
          <s:t>Ndërto fixture Org A/B dhe helper allow/deny nën rolin runtime; lidhe suite RLS me required CI. Hiq një policy qëllimisht dhe provo se CI dështon.</s:t>
        </s:is>
      </s:c>
      <s:c r="J119" s="42" t="inlineStr">
        <s:is>
          <s:t>RG-02</s:t>
        </s:is>
      </s:c>
      <s:c r="K119" s="42" t="inlineStr">
        <s:is>
          <s:t>Prova e kërkuar nga backlog-u: pytest DB/RLS suite
Kriteri për t'u verifikuar (nuk deklarohet i kaluar): Representative read/write/delete cross-tenant tests fail before policy and pass after; CI blocks regression.
Pranimi kërkon edhe gate-et: RG-02. Asnjë gate nuk është shënuar Passed nga ky audit.</s:t>
        </s:is>
      </s:c>
    </s:row>
    <s:row r="120" ht="72" customHeight="1" s="48">
      <s:c r="A120" s="42" t="inlineStr">
        <s:is>
          <s:t>S2-A08</s:t>
        </s:is>
      </s:c>
      <s:c r="B120" s="42" t="inlineStr">
        <s:is>
          <s:t>S2</s:t>
        </s:is>
      </s:c>
      <s:c r="C120" s="42" t="inlineStr">
        <s:is>
          <s:t>P0</s:t>
        </s:is>
      </s:c>
      <s:c r="D120" s="42" t="inlineStr">
        <s:is>
          <s:t>Not Started</s:t>
        </s:is>
      </s:c>
      <s:c r="E120" s="42" t="inlineStr">
        <s:is>
          <s:t>Pa filluar</s:t>
        </s:is>
      </s:c>
      <s:c r="F120" s="42" t="inlineStr">
        <s:is>
          <s:t>Programmer A</s:t>
        </s:is>
      </s:c>
      <s:c r="G120" s="42" t="inlineStr">
        <s:is>
          <s:t>Programmer B</s:t>
        </s:is>
      </s:c>
      <s:c r="H120" s="42" t="inlineStr">
        <s:is>
          <s:t>Implement Meta webhook verification and dedupe</s:t>
        </s:is>
      </s:c>
      <s:c r="I120" s="42" t="inlineStr">
        <s:is>
          <s:t>Implemento challenge dhe signature verification të webhook-ut Meta; ruaj fingerprint, prano shpejt dhe enqueue përpunimin. Provo nënshkrim të pavlefshëm, replay dhe duplicate delivery.</s:t>
        </s:is>
      </s:c>
      <s:c r="J120" s="42" t="inlineStr">
        <s:is>
          <s:t>RG-04</s:t>
        </s:is>
      </s:c>
      <s:c r="K120" s="42" t="inlineStr">
        <s:is>
          <s:t>Prova e kërkuar nga backlog-u: Signature/replay integration tests
Kriteri për t'u verifikuar (nuk deklarohet i kaluar): Invalid signature rejected; same event processed once logically; handler responds fast before heavy work.
Pranimi kërkon edhe gate-et: RG-04. Asnjë gate nuk është shënuar Passed nga ky audit.</s:t>
        </s:is>
      </s:c>
    </s:row>
    <s:row r="121" ht="72" customHeight="1" s="48">
      <s:c r="A121" s="42" t="inlineStr">
        <s:is>
          <s:t>S3-A02</s:t>
        </s:is>
      </s:c>
      <s:c r="B121" s="42" t="inlineStr">
        <s:is>
          <s:t>S3</s:t>
        </s:is>
      </s:c>
      <s:c r="C121" s="42" t="inlineStr">
        <s:is>
          <s:t>P0</s:t>
        </s:is>
      </s:c>
      <s:c r="D121" s="42" t="inlineStr">
        <s:is>
          <s:t>Not Started</s:t>
        </s:is>
      </s:c>
      <s:c r="E121" s="42" t="inlineStr">
        <s:is>
          <s:t>Pa filluar</s:t>
        </s:is>
      </s:c>
      <s:c r="F121" s="42" t="inlineStr">
        <s:is>
          <s:t>Programmer A</s:t>
        </s:is>
      </s:c>
      <s:c r="G121" s="42" t="inlineStr">
        <s:is>
          <s:t>Programmer B</s:t>
        </s:is>
      </s:c>
      <s:c r="H121" s="42" t="inlineStr">
        <s:is>
          <s:t>Implement prompt registry and immutable versions</s:t>
        </s:is>
      </s:c>
      <s:c r="I121" s="42" t="inlineStr">
        <s:is>
          <s:t>Duhet registry immutable, hash/schema/version, promotion/audit dhe lifecycle tests.</s:t>
        </s:is>
      </s:c>
      <s:c r="J121" s="42" t="inlineStr">
        <s:is>
          <s:t>RG-06</s:t>
        </s:is>
      </s:c>
      <s:c r="K121" s="42" t="inlineStr">
        <s:is>
          <s:t>Prova e kërkuar nga backlog-u: Prompt lifecycle tests
Kriteri për t'u verifikuar (nuk deklarohet i kaluar): Existing content run references immutable prompt version; active version change audited; duplicate hash/version handled.
Pranimi kërkon edhe gate-et: RG-06. Asnjë gate nuk është shënuar Passed nga ky audit.</s:t>
        </s:is>
      </s:c>
    </s:row>
    <s:row r="122" ht="72" customHeight="1" s="48">
      <s:c r="A122" s="42" t="inlineStr">
        <s:is>
          <s:t>S3-A04</s:t>
        </s:is>
      </s:c>
      <s:c r="B122" s="42" t="inlineStr">
        <s:is>
          <s:t>S3</s:t>
        </s:is>
      </s:c>
      <s:c r="C122" s="42" t="inlineStr">
        <s:is>
          <s:t>P0</s:t>
        </s:is>
      </s:c>
      <s:c r="D122" s="42" t="inlineStr">
        <s:is>
          <s:t>Not Started</s:t>
        </s:is>
      </s:c>
      <s:c r="E122" s="42" t="inlineStr">
        <s:is>
          <s:t>Pa filluar</s:t>
        </s:is>
      </s:c>
      <s:c r="F122" s="42" t="inlineStr">
        <s:is>
          <s:t>Programmer A</s:t>
        </s:is>
      </s:c>
      <s:c r="G122" s="42" t="inlineStr">
        <s:is>
          <s:t>Programmer B</s:t>
        </s:is>
      </s:c>
      <s:c r="H122" s="42" t="inlineStr">
        <s:is>
          <s:t>Implement candidate fact and voice inference</s:t>
        </s:is>
      </s:c>
      <s:c r="I122" s="42" t="inlineStr">
        <s:is>
          <s:t>Nuk ka source snapshots, extraction/candidates/confidence, conflict/dedupe ose inferred voice/facts të konfirmueshme.</s:t>
        </s:is>
      </s:c>
      <s:c r="J122" s="42" t="inlineStr">
        <s:is>
          <s:t>RG-06</s:t>
        </s:is>
      </s:c>
      <s:c r="K122" s="42" t="inlineStr">
        <s:is>
          <s:t>Prova e kërkuar nga backlog-u: Golden fixtures + domain integration
Kriteri për t'u verifikuar (nuk deklarohet i kaluar): Missing info remains null; candidate stores source/confidence; conflicting values presented separately; no verified status assigned by model.
Pranimi kërkon edhe gate-et: RG-06. Asnjë gate nuk është shënuar Passed nga ky audit.</s:t>
        </s:is>
      </s:c>
    </s:row>
    <s:row r="123" ht="72" customHeight="1" s="48">
      <s:c r="A123" s="42" t="inlineStr">
        <s:is>
          <s:t>S3-A09</s:t>
        </s:is>
      </s:c>
      <s:c r="B123" s="42" t="inlineStr">
        <s:is>
          <s:t>S3</s:t>
        </s:is>
      </s:c>
      <s:c r="C123" s="42" t="inlineStr">
        <s:is>
          <s:t>P0</s:t>
        </s:is>
      </s:c>
      <s:c r="D123" s="42" t="inlineStr">
        <s:is>
          <s:t>Not Started</s:t>
        </s:is>
      </s:c>
      <s:c r="E123" s="42" t="inlineStr">
        <s:is>
          <s:t>Pa filluar</s:t>
        </s:is>
      </s:c>
      <s:c r="F123" s="42" t="inlineStr">
        <s:is>
          <s:t>Programmer A</s:t>
        </s:is>
      </s:c>
      <s:c r="G123" s="42" t="inlineStr">
        <s:is>
          <s:t>Programmer B</s:t>
        </s:is>
      </s:c>
      <s:c r="H123" s="42" t="inlineStr">
        <s:is>
          <s:t>Implement GPT-Image-2 edit/generate adapter</s:t>
        </s:is>
      </s:c>
      <s:c r="I123" s="42" t="inlineStr">
        <s:is>
          <s:t>Krijo adapter image edit/generate me model/config të fiksuar, kontroll pronësie të inputs, buxhet dhe ingest privat. Ruaj checksum/lineage me ai_run dhe assets prind; provo dështimet dhe output staging.</s:t>
        </s:is>
      </s:c>
      <s:c r="J123" s="42" t="inlineStr">
        <s:is>
          <s:t>RG-05,RG-06</s:t>
        </s:is>
      </s:c>
      <s:c r="K123" s="42" t="inlineStr">
        <s:is>
          <s:t>Prova e kërkuar nga backlog-u: Mock + controlled staging image tests
Kriteri për t'u verifikuar (nuk deklarohet i kaluar): Generated asset has lineage/checksum; failures/budget limits typed; snapshot/version recorded; input ownership verified.
Pranimi kërkon edhe gate-et: RG-05,RG-06. Asnjë gate nuk është shënuar Passed nga ky audit.</s:t>
        </s:is>
      </s:c>
    </s:row>
    <s:row r="124" ht="72" customHeight="1" s="48">
      <s:c r="A124" s="42" t="inlineStr">
        <s:is>
          <s:t>S3-A10</s:t>
        </s:is>
      </s:c>
      <s:c r="B124" s="42" t="inlineStr">
        <s:is>
          <s:t>S3</s:t>
        </s:is>
      </s:c>
      <s:c r="C124" s="42" t="inlineStr">
        <s:is>
          <s:t>P0</s:t>
        </s:is>
      </s:c>
      <s:c r="D124" s="42" t="inlineStr">
        <s:is>
          <s:t>Not Started</s:t>
        </s:is>
      </s:c>
      <s:c r="E124" s="42" t="inlineStr">
        <s:is>
          <s:t>Pa filluar</s:t>
        </s:is>
      </s:c>
      <s:c r="F124" s="42" t="inlineStr">
        <s:is>
          <s:t>Programmer A</s:t>
        </s:is>
      </s:c>
      <s:c r="G124" s="42" t="inlineStr">
        <s:is>
          <s:t>Programmer B</s:t>
        </s:is>
      </s:c>
      <s:c r="H124" s="42" t="inlineStr">
        <s:is>
          <s:t>Build golden evaluation harness and thresholds</s:t>
        </s:is>
      </s:c>
      <s:c r="I124" s="42" t="inlineStr">
        <s:is>
          <s:t>Krijo dataset golden sipas vertikaleve, rregulla factuality/schema/brand/duplication/cost/latency dhe raport për çdo rast. Promotion CI duhet të refuzojë regresion ndaj threshold-eve të pranuara.</s:t>
        </s:is>
      </s:c>
      <s:c r="J124" s="42" t="inlineStr">
        <s:is>
          <s:t>RG-06</s:t>
        </s:is>
      </s:c>
      <s:c r="K124" s="42" t="inlineStr">
        <s:is>
          <s:t>Prova e kërkuar nga backlog-u: Golden eval suite
Kriteri për t'u verifikuar (nuk deklarohet i kaluar): Prompt/model change CI can run eval; release fails threshold regression; report stores config and per-case outcome.
Pranimi kërkon edhe gate-et: RG-06. Asnjë gate nuk është shënuar Passed nga ky audit.</s:t>
        </s:is>
      </s:c>
    </s:row>
    <s:row r="125" ht="72" customHeight="1" s="48">
      <s:c r="A125" s="42" t="inlineStr">
        <s:is>
          <s:t>S3-B07</s:t>
        </s:is>
      </s:c>
      <s:c r="B125" s="42" t="inlineStr">
        <s:is>
          <s:t>S3</s:t>
        </s:is>
      </s:c>
      <s:c r="C125" s="42" t="inlineStr">
        <s:is>
          <s:t>P0</s:t>
        </s:is>
      </s:c>
      <s:c r="D125" s="42" t="inlineStr">
        <s:is>
          <s:t>Not Started</s:t>
        </s:is>
      </s:c>
      <s:c r="E125" s="42" t="inlineStr">
        <s:is>
          <s:t>Pa filluar</s:t>
        </s:is>
      </s:c>
      <s:c r="F125" s="42" t="inlineStr">
        <s:is>
          <s:t>Programmer B</s:t>
        </s:is>
      </s:c>
      <s:c r="G125" s="42" t="inlineStr">
        <s:is>
          <s:t>Programmer A</s:t>
        </s:is>
      </s:c>
      <s:c r="H125" s="42" t="inlineStr">
        <s:is>
          <s:t>Implement deterministic social creative composer</s:t>
        </s:is>
      </s:c>
      <s:c r="I125" s="42" t="inlineStr">
        <s:is>
          <s:t>Nuk ka deterministic creative composer/export spec, exact business-logo/price/CTA render apo golden snapshots. Preview i rrjetit nuk është composer. 2.</s:t>
        </s:is>
      </s:c>
      <s:c r="J125" s="42" t="inlineStr">
        <s:is>
          <s:t>RG-05,RG-06</s:t>
        </s:is>
      </s:c>
      <s:c r="K125" s="42" t="inlineStr">
        <s:is>
          <s:t>Prova e kërkuar nga backlog-u: Golden render snapshots + manual visual QA
Kriteri për t'u verifikuar (nuk deklarohet i kaluar): Same spec renders deterministic critical text/logo; no image-model text used for price/logo; aspect presets validated.
DA-16: Foto katrore/portrait/landscape në të dy kanalet: krahaso preview me dimensionet e asset-it të dërguar; golden render për composer kur zbatohet.
Pranimi kërkon edhe gate-et: RG-05,RG-06. Asnjë gate nuk është shënuar Passed nga ky audit.</s:t>
        </s:is>
      </s:c>
    </s:row>
    <s:row r="126" ht="72" customHeight="1" s="48">
      <s:c r="A126" s="42" t="inlineStr">
        <s:is>
          <s:t>S5-A04</s:t>
        </s:is>
      </s:c>
      <s:c r="B126" s="42" t="inlineStr">
        <s:is>
          <s:t>S5</s:t>
        </s:is>
      </s:c>
      <s:c r="C126" s="42" t="inlineStr">
        <s:is>
          <s:t>P0</s:t>
        </s:is>
      </s:c>
      <s:c r="D126" s="42" t="inlineStr">
        <s:is>
          <s:t>Not Started</s:t>
        </s:is>
      </s:c>
      <s:c r="E126" s="42" t="inlineStr">
        <s:is>
          <s:t>Pa filluar</s:t>
        </s:is>
      </s:c>
      <s:c r="F126" s="42" t="inlineStr">
        <s:is>
          <s:t>Programmer A</s:t>
        </s:is>
      </s:c>
      <s:c r="G126" s="42" t="inlineStr">
        <s:is>
          <s:t>Programmer B</s:t>
        </s:is>
      </s:c>
      <s:c r="H126" s="42" t="inlineStr">
        <s:is>
          <s:t>Select and implement first billing provider adapter</s:t>
        </s:is>
      </s:c>
      <s:c r="I126" s="42" t="inlineStr">
        <s:is>
          <s:t>Dokumento zgjedhjen e ofruesit sipas subjektit operues në Kosovë; zbato BillingGateway për checkout/subscription/portal me fake adapter dhe sandbox. Mos rrjedh provider types në domain.</s:t>
        </s:is>
      </s:c>
      <s:c r="J126" s="42" t="inlineStr">
        <s:is>
          <s:t>RG-08</s:t>
        </s:is>
      </s:c>
      <s:c r="K126" s="42" t="inlineStr">
        <s:is>
          <s:t>Prova e kërkuar nga backlog-u: Adapter contract + provider sandbox test
Kriteri për t'u verifikuar (nuk deklarohet i kaluar): Core billing tests run with fake adapter; selected live/test provider can create session and normalize subscription IDs without leaking provider types.
Pranimi kërkon edhe gate-et: RG-08. Asnjë gate nuk është shënuar Passed nga ky audit.</s:t>
        </s:is>
      </s:c>
    </s:row>
    <s:row r="127" ht="72" customHeight="1" s="48">
      <s:c r="A127" s="42" t="inlineStr">
        <s:is>
          <s:t>S5-A05</s:t>
        </s:is>
      </s:c>
      <s:c r="B127" s="42" t="inlineStr">
        <s:is>
          <s:t>S5</s:t>
        </s:is>
      </s:c>
      <s:c r="C127" s="42" t="inlineStr">
        <s:is>
          <s:t>P0</s:t>
        </s:is>
      </s:c>
      <s:c r="D127" s="42" t="inlineStr">
        <s:is>
          <s:t>Not Started</s:t>
        </s:is>
      </s:c>
      <s:c r="E127" s="42" t="inlineStr">
        <s:is>
          <s:t>Pa filluar</s:t>
        </s:is>
      </s:c>
      <s:c r="F127" s="42" t="inlineStr">
        <s:is>
          <s:t>Programmer A</s:t>
        </s:is>
      </s:c>
      <s:c r="G127" s="42" t="inlineStr">
        <s:is>
          <s:t>Programmer B</s:t>
        </s:is>
      </s:c>
      <s:c r="H127" s="42" t="inlineStr">
        <s:is>
          <s:t>Implement verified billing webhook processing</s:t>
        </s:is>
      </s:c>
      <s:c r="I127" s="42" t="inlineStr">
        <s:is>
          <s:t>Pas zgjedhjes së provider-it: verifiko signature, ruaj fingerprint dhe përpuno eventet billing me idempotency/order guards; active/past_due/cancelled/period nuk duhet të kthehen mbrapa nga event i vjetër.</s:t>
        </s:is>
      </s:c>
      <s:c r="J127" s="42" t="inlineStr">
        <s:is>
          <s:t>RG-08</s:t>
        </s:is>
      </s:c>
      <s:c r="K127" s="42" t="inlineStr">
        <s:is>
          <s:t>Prova e kërkuar nga backlog-u: Webhook replay/order tests
Kriteri për t'u verifikuar (nuk deklarohet i kaluar): Replay processes once; bad signature denied; out-of-order known events do not corrupt newer subscription state.
Pranimi kërkon edhe gate-et: RG-08. Asnjë gate nuk është shënuar Passed nga ky audit.</s:t>
        </s:is>
      </s:c>
    </s:row>
    <s:row r="128" ht="72" customHeight="1" s="48">
      <s:c r="A128" s="42" t="inlineStr">
        <s:is>
          <s:t>S6-A01</s:t>
        </s:is>
      </s:c>
      <s:c r="B128" s="42" t="inlineStr">
        <s:is>
          <s:t>S6</s:t>
        </s:is>
      </s:c>
      <s:c r="C128" s="42" t="inlineStr">
        <s:is>
          <s:t>P0</s:t>
        </s:is>
      </s:c>
      <s:c r="D128" s="42" t="inlineStr">
        <s:is>
          <s:t>Not Started</s:t>
        </s:is>
      </s:c>
      <s:c r="E128" s="42" t="inlineStr">
        <s:is>
          <s:t>Pa filluar</s:t>
        </s:is>
      </s:c>
      <s:c r="F128" s="42" t="inlineStr">
        <s:is>
          <s:t>Programmer A</s:t>
        </s:is>
      </s:c>
      <s:c r="G128" s="42" t="inlineStr">
        <s:is>
          <s:t>Programmer B</s:t>
        </s:is>
      </s:c>
      <s:c r="H128" s="42" t="inlineStr">
        <s:is>
          <s:t>Instrument API/worker with OpenTelemetry and structured logs</s:t>
        </s:is>
      </s:c>
      <s:c r="I128" s="42" t="inlineStr">
        <s:is>
          <s:t>Nuk ka OpenTelemetry, trace/request correlation, instrumentim DB/queue/providers apo redaction/release-tag tests.</s:t>
        </s:is>
      </s:c>
      <s:c r="J128" s="42" t="inlineStr">
        <s:is>
          <s:t>RG-10</s:t>
        </s:is>
      </s:c>
      <s:c r="K128" s="42" t="inlineStr">
        <s:is>
          <s:t>Prova e kërkuar nga backlog-u: Trace walkthrough + log redaction tests
Kriteri për t'u verifikuar (nuk deklarohet i kaluar): One staging generation/publish traces across API-&gt;queue-&gt;worker/provider; secrets/raw prompts absent from default logs.
Pranimi kërkon edhe gate-et: RG-10. Asnjë gate nuk është shënuar Passed nga ky audit.</s:t>
        </s:is>
      </s:c>
    </s:row>
    <s:row r="129" ht="72" customHeight="1" s="48">
      <s:c r="A129" s="42" t="inlineStr">
        <s:is>
          <s:t>S6-A02</s:t>
        </s:is>
      </s:c>
      <s:c r="B129" s="42" t="inlineStr">
        <s:is>
          <s:t>S6</s:t>
        </s:is>
      </s:c>
      <s:c r="C129" s="42" t="inlineStr">
        <s:is>
          <s:t>P0</s:t>
        </s:is>
      </s:c>
      <s:c r="D129" s="42" t="inlineStr">
        <s:is>
          <s:t>Not Started</s:t>
        </s:is>
      </s:c>
      <s:c r="E129" s="42" t="inlineStr">
        <s:is>
          <s:t>Pa filluar</s:t>
        </s:is>
      </s:c>
      <s:c r="F129" s="42" t="inlineStr">
        <s:is>
          <s:t>Programmer A</s:t>
        </s:is>
      </s:c>
      <s:c r="G129" s="42" t="inlineStr">
        <s:is>
          <s:t>Programmer B</s:t>
        </s:is>
      </s:c>
      <s:c r="H129" s="42" t="inlineStr">
        <s:is>
          <s:t>Create SLO dashboards and actionable alerts</s:t>
        </s:is>
      </s:c>
      <s:c r="I129" s="42" t="inlineStr">
        <s:is>
          <s:t>Instrumento dashboards për 5xx/p95, queue-age/depth, publish errors, OAuth, AI cost/latency dhe DB saturation; vendos thresholds dhe runbook links me cardinality të kufizuar. Provo alert me incident sintetik.</s:t>
        </s:is>
      </s:c>
      <s:c r="J129" s="42" t="inlineStr">
        <s:is>
          <s:t>RG-10</s:t>
        </s:is>
      </s:c>
      <s:c r="K129" s="42" t="inlineStr">
        <s:is>
          <s:t>Prova e kërkuar nga backlog-u: Staging alert fire/drill
Kriteri për t'u verifikuar (nuk deklarohet i kaluar): Synthetic incident triggers expected alert; metric labels bounded cardinality; no per-org metric labels.
Pranimi kërkon edhe gate-et: RG-10. Asnjë gate nuk është shënuar Passed nga ky audit.</s:t>
        </s:is>
      </s:c>
    </s:row>
    <s:row r="130" ht="72" customHeight="1" s="48">
      <s:c r="A130" s="42" t="inlineStr">
        <s:is>
          <s:t>S6-A03</s:t>
        </s:is>
      </s:c>
      <s:c r="B130" s="42" t="inlineStr">
        <s:is>
          <s:t>S6</s:t>
        </s:is>
      </s:c>
      <s:c r="C130" s="42" t="inlineStr">
        <s:is>
          <s:t>P0</s:t>
        </s:is>
      </s:c>
      <s:c r="D130" s="42" t="inlineStr">
        <s:is>
          <s:t>Not Started</s:t>
        </s:is>
      </s:c>
      <s:c r="E130" s="42" t="inlineStr">
        <s:is>
          <s:t>Pa filluar</s:t>
        </s:is>
      </s:c>
      <s:c r="F130" s="42" t="inlineStr">
        <s:is>
          <s:t>Programmer A</s:t>
        </s:is>
      </s:c>
      <s:c r="G130" s="42" t="inlineStr">
        <s:is>
          <s:t>Programmer B</s:t>
        </s:is>
      </s:c>
      <s:c r="H130" s="42" t="inlineStr">
        <s:is>
          <s:t>Write critical runbooks</s:t>
        </s:is>
      </s:c>
      <s:c r="I130" s="42" t="inlineStr">
        <s:is>
          <s:t>Shkruaj runbooks të veçanta për provider outage, revoke spike, queue backlog, deploy/DB/AI outage, cost spike dhe uncertain reconciliation; secili me detect/contain/verify/escalate dhe owner, pastaj tabletop.</s:t>
        </s:is>
      </s:c>
      <s:c r="J130" s="42" t="inlineStr">
        <s:is>
          <s:t>RG-10</s:t>
        </s:is>
      </s:c>
      <s:c r="K130" s="42" t="inlineStr">
        <s:is>
          <s:t>Prova e kërkuar nga backlog-u: Tabletop walkthrough
Kriteri për t'u verifikuar (nuk deklarohet i kaluar): Each pager-worthy alert links runbook with detect/contain/verify/escalate steps and owner.
Pranimi kërkon edhe gate-et: RG-10. Asnjë gate nuk është shënuar Passed nga ky audit.</s:t>
        </s:is>
      </s:c>
    </s:row>
    <s:row r="131" ht="72" customHeight="1" s="48">
      <s:c r="A131" s="42" t="inlineStr">
        <s:is>
          <s:t>S6-A05</s:t>
        </s:is>
      </s:c>
      <s:c r="B131" s="42" t="inlineStr">
        <s:is>
          <s:t>S6</s:t>
        </s:is>
      </s:c>
      <s:c r="C131" s="42" t="inlineStr">
        <s:is>
          <s:t>P0</s:t>
        </s:is>
      </s:c>
      <s:c r="D131" s="42" t="inlineStr">
        <s:is>
          <s:t>Not Started</s:t>
        </s:is>
      </s:c>
      <s:c r="E131" s="42" t="inlineStr">
        <s:is>
          <s:t>Pa filluar</s:t>
        </s:is>
      </s:c>
      <s:c r="F131" s="42" t="inlineStr">
        <s:is>
          <s:t>Programmer A</s:t>
        </s:is>
      </s:c>
      <s:c r="G131" s="42" t="inlineStr">
        <s:is>
          <s:t>Programmer B</s:t>
        </s:is>
      </s:c>
      <s:c r="H131" s="42" t="inlineStr">
        <s:is>
          <s:t>Implement dependency-aware organization deletion/purge</s:t>
        </s:is>
      </s:c>
      <s:c r="I131" s="42" t="inlineStr">
        <s:is>
          <s:t>Duhet konfirmim/recent-auth, cancellation, token destruction, purge resume dhe retention exceptions me teste. 2.</s:t>
        </s:is>
      </s:c>
      <s:c r="J131" s="42" t="inlineStr">
        <s:is>
          <s:t>RG-09</s:t>
        </s:is>
      </s:c>
      <s:c r="K131" s="42" t="inlineStr">
        <s:is>
          <s:t>Prova e kërkuar nga backlog-u: Purge failure/resume + isolation tests
Kriteri për t'u verifikuar (nuk deklarohet i kaluar): Deletion job resumes after failure; active publish jobs cancelled; credentials destroyed; retained billing/audit exceptions documented.
DA-11: Revoko të drejtat e asset-it në postim të planifikuar, verifiko bllokimin e publikimit; provo purge/resume dhe përjashtimet e dokumentuara të ruajtjes.
Pranimi kërkon edhe gate-et: RG-09. Asnjë gate nuk është shënuar Passed nga ky audit.</s:t>
        </s:is>
      </s:c>
    </s:row>
    <s:row r="132" ht="72" customHeight="1" s="48">
      <s:c r="A132" s="42" t="inlineStr">
        <s:is>
          <s:t>S6-A07</s:t>
        </s:is>
      </s:c>
      <s:c r="B132" s="42" t="inlineStr">
        <s:is>
          <s:t>S6</s:t>
        </s:is>
      </s:c>
      <s:c r="C132" s="42" t="inlineStr">
        <s:is>
          <s:t>P0</s:t>
        </s:is>
      </s:c>
      <s:c r="D132" s="42" t="inlineStr">
        <s:is>
          <s:t>Not Started</s:t>
        </s:is>
      </s:c>
      <s:c r="E132" s="42" t="inlineStr">
        <s:is>
          <s:t>Pa filluar</s:t>
        </s:is>
      </s:c>
      <s:c r="F132" s="42" t="inlineStr">
        <s:is>
          <s:t>Programmer A</s:t>
        </s:is>
      </s:c>
      <s:c r="G132" s="42" t="inlineStr">
        <s:is>
          <s:t>Programmer B</s:t>
        </s:is>
      </s:c>
      <s:c r="H132" s="42" t="inlineStr">
        <s:is>
          <s:t>Run final burst/load/resilience test at 3x launch forecast</s:t>
        </s:is>
      </s:c>
      <s:c r="I132" s="42" t="inlineStr">
        <s:is>
          <s:t>Përcakto forecast të lançimit dhe ekzekuto &gt;=3× burst mëngjes/mbrëmje me generation/upload/API; mat p95 dhe vonesën e publikimit, rregullo concurrency/pool bazuar në raport. 2.</s:t>
        </s:is>
      </s:c>
      <s:c r="J132" s="42" t="inlineStr">
        <s:is>
          <s:t>RG-11</s:t>
        </s:is>
      </s:c>
      <s:c r="K132" s="42" t="inlineStr">
        <s:is>
          <s:t>Prova e kërkuar nga backlog-u: Load report with charts/query evidence
Kriteri për t'u verifikuar (nuk deklarohet i kaluar): Meets initial p95/queue/scheduler targets at &gt;=3x forecast or documented blocker fixed before launch.
DA-02: Burst nga disa biznese në të njëjtin orar, dy worker-a, pa dyfishime ose uri të një biznesi; mat vonesën ndaj objektivit të planifikuar.
Pranimi kërkon edhe gate-et: RG-11. Asnjë gate nuk është shënuar Passed nga ky audit.</s:t>
        </s:is>
      </s:c>
    </s:row>
    <s:row r="133" ht="72" customHeight="1" s="48">
      <s:c r="A133" s="42" t="inlineStr">
        <s:is>
          <s:t>S7-A02</s:t>
        </s:is>
      </s:c>
      <s:c r="B133" s="42" t="inlineStr">
        <s:is>
          <s:t>S7</s:t>
        </s:is>
      </s:c>
      <s:c r="C133" s="42" t="inlineStr">
        <s:is>
          <s:t>P0</s:t>
        </s:is>
      </s:c>
      <s:c r="D133" s="42" t="inlineStr">
        <s:is>
          <s:t>Not Started</s:t>
        </s:is>
      </s:c>
      <s:c r="E133" s="42" t="inlineStr">
        <s:is>
          <s:t>Pa filluar</s:t>
        </s:is>
      </s:c>
      <s:c r="F133" s="42" t="inlineStr">
        <s:is>
          <s:t>Programmer A</s:t>
        </s:is>
      </s:c>
      <s:c r="G133" s="42" t="inlineStr">
        <s:is>
          <s:t>Programmer B</s:t>
        </s:is>
      </s:c>
      <s:c r="H133" s="42" t="inlineStr">
        <s:is>
          <s:t>Create initial vertical policy/eval packs</s:t>
        </s:is>
      </s:c>
      <s:c r="I133" s="42" t="inlineStr">
        <s:is>
          <s:t>Mungojnë vertical policy/eval packs për dental/beauty, restaurant/cafe, real-estate/construction, human rubric dhe golden thresholds.</s:t>
        </s:is>
      </s:c>
      <s:c r="J133" s="42" t="inlineStr">
        <s:is>
          <s:t>RG-16</s:t>
        </s:is>
      </s:c>
      <s:c r="K133" s="42" t="inlineStr">
        <s:is>
          <s:t>Prova e kërkuar nga backlog-u: Golden eval + human rubric
Kriteri për t'u verifikuar (nuk deklarohet i kaluar): Each vertical has minimum golden set, BLOCK/WARN cases and pass thresholds; policy version pinned to decision.
Pranimi kërkon edhe gate-et: RG-16. Asnjë gate nuk është shënuar Passed nga ky audit.</s:t>
        </s:is>
      </s:c>
    </s:row>
    <s:row r="134" ht="72" customHeight="1" s="48">
      <s:c r="A134" s="42" t="inlineStr">
        <s:is>
          <s:t>S7-A06</s:t>
        </s:is>
      </s:c>
      <s:c r="B134" s="42" t="inlineStr">
        <s:is>
          <s:t>S7</s:t>
        </s:is>
      </s:c>
      <s:c r="C134" s="42" t="inlineStr">
        <s:is>
          <s:t>P0</s:t>
        </s:is>
      </s:c>
      <s:c r="D134" s="42" t="inlineStr">
        <s:is>
          <s:t>Not Started</s:t>
        </s:is>
      </s:c>
      <s:c r="E134" s="42" t="inlineStr">
        <s:is>
          <s:t>Pa filluar</s:t>
        </s:is>
      </s:c>
      <s:c r="F134" s="42" t="inlineStr">
        <s:is>
          <s:t>Programmer A</s:t>
        </s:is>
      </s:c>
      <s:c r="G134" s="42" t="inlineStr">
        <s:is>
          <s:t>Programmer B</s:t>
        </s:is>
      </s:c>
      <s:c r="H134" s="42" t="inlineStr">
        <s:is>
          <s:t>Build admin/support operations APIs</s:t>
        </s:is>
      </s:c>
      <s:c r="I134" s="42" t="inlineStr">
        <s:is>
          <s:t>Krijo API privilegjesh për tenant search, queue/jobs/attempts/connection/AI spend/flags dhe retry/cancel të sigurta; çdo mutacion me reason/audit dhe pa token/impersonation default. 2.</s:t>
        </s:is>
      </s:c>
      <s:c r="J134" s="42" t="inlineStr">
        <s:is>
          <s:t>RG-18</s:t>
        </s:is>
      </s:c>
      <s:c r="K134" s="42" t="inlineStr">
        <s:is>
          <s:t>Prova e kërkuar nga backlog-u: Authz + audit + API tests
Kriteri për t'u verifikuar (nuk deklarohet i kaluar): No raw token/secret endpoint; every mutating admin action requires reason and audit; tenant impersonation absent by default.
DA-04: Timeout pas efektit të jashtëm → uncertain → disconnect → verifikim rezultati → reconnect; ruaj identitetin e target-it dhe mos dyfisho.
Pranimi kërkon edhe gate-et: RG-18. Asnjë gate nuk është shënuar Passed nga ky audit.</s:t>
        </s:is>
      </s:c>
    </s:row>
    <s:row r="135" ht="72" customHeight="1" s="48">
      <s:c r="A135" s="42" t="inlineStr">
        <s:is>
          <s:t>S7-A09</s:t>
        </s:is>
      </s:c>
      <s:c r="B135" s="42" t="inlineStr">
        <s:is>
          <s:t>S7</s:t>
        </s:is>
      </s:c>
      <s:c r="C135" s="42" t="inlineStr">
        <s:is>
          <s:t>P0</s:t>
        </s:is>
      </s:c>
      <s:c r="D135" s="42" t="inlineStr">
        <s:is>
          <s:t>Not Started</s:t>
        </s:is>
      </s:c>
      <s:c r="E135" s="42" t="inlineStr">
        <s:is>
          <s:t>Pa filluar</s:t>
        </s:is>
      </s:c>
      <s:c r="F135" s="42" t="inlineStr">
        <s:is>
          <s:t>Programmer A</s:t>
        </s:is>
      </s:c>
      <s:c r="G135" s="42" t="inlineStr">
        <s:is>
          <s:t>Programmer B</s:t>
        </s:is>
      </s:c>
      <s:c r="H135" s="42" t="inlineStr">
        <s:is>
          <s:t>Implement spend anomaly detection and circuit breaker runbook hooks</s:t>
        </s:is>
      </s:c>
      <s:c r="I135" s="42" t="inlineStr">
        <s:is>
          <s:t>Agrego shpejtësinë e shpenzimit AI/media, zbulo loops/spikes dhe vendos breaker me audit/alert/runbook; provo loop sintetik dhe recovery të kontrolluar nga operatori. 2.</s:t>
        </s:is>
      </s:c>
      <s:c r="J135" s="42" t="inlineStr">
        <s:is>
          <s:t>RG-18</s:t>
        </s:is>
      </s:c>
      <s:c r="K135" s="42" t="inlineStr">
        <s:is>
          <s:t>Prova e kërkuar nga backlog-u: Fault injection
Kriteri për t'u verifikuar (nuk deklarohet i kaluar): Synthetic loop triggers alert/breaker within threshold; breaker state audited; recovery requires explicit operator action or bounded policy.
DA-12: Kërkesa paralele, provider timeout/error/duplicate, release vetëm një herë dhe ndalim para tejkalimit të buxhetit; replay i kostove për secilin plan.
Pranimi kërkon edhe gate-et: RG-18. Asnjë gate nuk është shënuar Passed nga ky audit.</s:t>
        </s:is>
      </s:c>
    </s:row>
    <s:row r="136" ht="72" customHeight="1" s="48">
      <s:c r="A136" s="42" t="inlineStr">
        <s:is>
          <s:t>S7-B01</s:t>
        </s:is>
      </s:c>
      <s:c r="B136" s="42" t="inlineStr">
        <s:is>
          <s:t>S7</s:t>
        </s:is>
      </s:c>
      <s:c r="C136" s="42" t="inlineStr">
        <s:is>
          <s:t>P0</s:t>
        </s:is>
      </s:c>
      <s:c r="D136" s="42" t="inlineStr">
        <s:is>
          <s:t>Not Started</s:t>
        </s:is>
      </s:c>
      <s:c r="E136" s="42" t="inlineStr">
        <s:is>
          <s:t>Pa filluar</s:t>
        </s:is>
      </s:c>
      <s:c r="F136" s="42" t="inlineStr">
        <s:is>
          <s:t>Programmer B</s:t>
        </s:is>
      </s:c>
      <s:c r="G136" s="42" t="inlineStr">
        <s:is>
          <s:t>Programmer A</s:t>
        </s:is>
      </s:c>
      <s:c r="H136" s="42" t="inlineStr">
        <s:is>
          <s:t>Implement tool-driven AI Copilot interactions</s:t>
        </s:is>
      </s:c>
      <s:c r="I136" s="42" t="inlineStr">
        <s:is>
          <s:t>Pas shell/API së Copilot: tool cards, konfirmim, abort/retry dhe link/status për çdo artefakt; çdo side effect kalon typed domain command, kurrë tekstin e lirë të modelit.</s:t>
        </s:is>
      </s:c>
      <s:c r="J136" s="42" t="inlineStr">
        <s:is>
          <s:t>RG-16,RG-17</s:t>
        </s:is>
      </s:c>
      <s:c r="K136" s="42" t="inlineStr">
        <s:is>
          <s:t>Prova e kërkuar nga backlog-u: E2E + XSS/safety tests
Kriteri për t'u verifikuar (nuk deklarohet i kaluar): No side effect executes from plain model text; every mutation maps to typed tool/domain command; user sees result link and final status.
Pranimi kërkon edhe gate-et: RG-16,RG-17. Asnjë gate nuk është shënuar Passed nga ky audit.</s:t>
        </s:is>
      </s:c>
    </s:row>
    <s:row r="137" ht="72" customHeight="1" s="48">
      <s:c r="A137" s="42" t="inlineStr">
        <s:is>
          <s:t>S7-B04</s:t>
        </s:is>
      </s:c>
      <s:c r="B137" s="42" t="inlineStr">
        <s:is>
          <s:t>S7</s:t>
        </s:is>
      </s:c>
      <s:c r="C137" s="42" t="inlineStr">
        <s:is>
          <s:t>P0</s:t>
        </s:is>
      </s:c>
      <s:c r="D137" s="42" t="inlineStr">
        <s:is>
          <s:t>Not Started</s:t>
        </s:is>
      </s:c>
      <s:c r="E137" s="42" t="inlineStr">
        <s:is>
          <s:t>Pa filluar</s:t>
        </s:is>
      </s:c>
      <s:c r="F137" s="42" t="inlineStr">
        <s:is>
          <s:t>Programmer B</s:t>
        </s:is>
      </s:c>
      <s:c r="G137" s="42" t="inlineStr">
        <s:is>
          <s:t>Programmer A</s:t>
        </s:is>
      </s:c>
      <s:c r="H137" s="42" t="inlineStr">
        <s:is>
          <s:t>Expand platform operations console</s:t>
        </s:is>
      </s:c>
      <s:c r="I137" s="42" t="inlineStr">
        <s:is>
          <s:t>Zgjero console me tenant search, queues/attempts, AI spend/anomaly dhe flags; server pagination, konfirmim me arsye për retry/breaker dhe pamje mobile read-only.</s:t>
        </s:is>
      </s:c>
      <s:c r="J137" s="42" t="inlineStr">
        <s:is>
          <s:t>RG-18</s:t>
        </s:is>
      </s:c>
      <s:c r="K137" s="42" t="inlineStr">
        <s:is>
          <s:t>Prova e kërkuar nga backlog-u: Admin authz E2E
Kriteri për t'u verifikuar (nuk deklarohet i kaluar): No secret values displayed; retry/breaker actions confirm reason; long lists server-paginated; mobile read-only usable.
Pranimi kërkon edhe gate-et: RG-18. Asnjë gate nuk është shënuar Passed nga ky audit.</s:t>
        </s:is>
      </s:c>
    </s:row>
    <s:row r="138" ht="72" customHeight="1" s="48">
      <s:c r="A138" s="42" t="inlineStr">
        <s:is>
          <s:t>S8-A01</s:t>
        </s:is>
      </s:c>
      <s:c r="B138" s="42" t="inlineStr">
        <s:is>
          <s:t>S8</s:t>
        </s:is>
      </s:c>
      <s:c r="C138" s="42" t="inlineStr">
        <s:is>
          <s:t>P0</s:t>
        </s:is>
      </s:c>
      <s:c r="D138" s="42" t="inlineStr">
        <s:is>
          <s:t>Not Started</s:t>
        </s:is>
      </s:c>
      <s:c r="E138" s="42" t="inlineStr">
        <s:is>
          <s:t>Pa filluar</s:t>
        </s:is>
      </s:c>
      <s:c r="F138" s="42" t="inlineStr">
        <s:is>
          <s:t>Programmer A</s:t>
        </s:is>
      </s:c>
      <s:c r="G138" s="42" t="inlineStr">
        <s:is>
          <s:t>Programmer B</s:t>
        </s:is>
      </s:c>
      <s:c r="H138" s="42" t="inlineStr">
        <s:is>
          <s:t>Verify backup/PITR and execute restore exercise</s:t>
        </s:is>
      </s:c>
      <s:c r="I138" s="42" t="inlineStr">
        <s:is>
          <s:t>Mungojnë backup/PITR production configuration, restore drill dhe matje RPO/RTO; volum Docker nuk është backup.</s:t>
        </s:is>
      </s:c>
      <s:c r="J138" s="42" t="inlineStr">
        <s:is>
          <s:t>RG-13</s:t>
        </s:is>
      </s:c>
      <s:c r="K138" s="42" t="inlineStr">
        <s:is>
          <s:t>Prova e kërkuar nga backlog-u: Documented restore drill
Kriteri për t'u verifikuar (nuk deklarohet i kaluar): Restore exercise evidence recorded; target RPO&lt;=5m when PITR enabled and app RTO objective&lt;=60m documented with dependencies.
Pranimi kërkon edhe gate-et: RG-13. Asnjë gate nuk është shënuar Passed nga ky audit.</s:t>
        </s:is>
      </s:c>
    </s:row>
    <s:row r="139" ht="72" customHeight="1" s="48">
      <s:c r="A139" s="42" t="inlineStr">
        <s:is>
          <s:t>S8-A02</s:t>
        </s:is>
      </s:c>
      <s:c r="B139" s="42" t="inlineStr">
        <s:is>
          <s:t>S8</s:t>
        </s:is>
      </s:c>
      <s:c r="C139" s="42" t="inlineStr">
        <s:is>
          <s:t>P0</s:t>
        </s:is>
      </s:c>
      <s:c r="D139" s="42" t="inlineStr">
        <s:is>
          <s:t>Not Started</s:t>
        </s:is>
      </s:c>
      <s:c r="E139" s="42" t="inlineStr">
        <s:is>
          <s:t>Pa filluar</s:t>
        </s:is>
      </s:c>
      <s:c r="F139" s="42" t="inlineStr">
        <s:is>
          <s:t>Programmer A</s:t>
        </s:is>
      </s:c>
      <s:c r="G139" s="42" t="inlineStr">
        <s:is>
          <s:t>Programmer B</s:t>
        </s:is>
      </s:c>
      <s:c r="H139" s="42" t="inlineStr">
        <s:is>
          <s:t>Complete production security release review</s:t>
        </s:is>
      </s:c>
      <s:c r="I139" s="42" t="inlineStr">
        <s:is>
          <s:t>Duhet audit i konfigurimit prod, ASVS/tenant/webhook/upload suite, dependency/container/secret scan i freskët dhe triage me owner/expiry.</s:t>
        </s:is>
      </s:c>
      <s:c r="J139" s="42" t="inlineStr">
        <s:is>
          <s:t>RG-12</s:t>
        </s:is>
      </s:c>
      <s:c r="K139" s="42" t="inlineStr">
        <s:is>
          <s:t>Prova e kërkuar nga backlog-u: Security release report
Kriteri për t'u verifikuar (nuk deklarohet i kaluar): Zero unresolved exploitable critical/high; exceptions have risk owner/date; prod config evidence attached.
Pranimi kërkon edhe gate-et: RG-12. Asnjë gate nuk është shënuar Passed nga ky audit.</s:t>
        </s:is>
      </s:c>
    </s:row>
    <s:row r="140" ht="72" customHeight="1" s="48">
      <s:c r="A140" s="42" t="inlineStr">
        <s:is>
          <s:t>S8-A04</s:t>
        </s:is>
      </s:c>
      <s:c r="B140" s="42" t="inlineStr">
        <s:is>
          <s:t>S8</s:t>
        </s:is>
      </s:c>
      <s:c r="C140" s="42" t="inlineStr">
        <s:is>
          <s:t>P0</s:t>
        </s:is>
      </s:c>
      <s:c r="D140" s="42" t="inlineStr">
        <s:is>
          <s:t>Not Started</s:t>
        </s:is>
      </s:c>
      <s:c r="E140" s="42" t="inlineStr">
        <s:is>
          <s:t>Pa filluar</s:t>
        </s:is>
      </s:c>
      <s:c r="F140" s="42" t="inlineStr">
        <s:is>
          <s:t>Programmer A</s:t>
        </s:is>
      </s:c>
      <s:c r="G140" s="42" t="inlineStr">
        <s:is>
          <s:t>Programmer B</s:t>
        </s:is>
      </s:c>
      <s:c r="H140" s="42" t="inlineStr">
        <s:is>
          <s:t>Execute production deployment and progressive rollout</s:t>
        </s:is>
      </s:c>
      <s:c r="I140" s="42" t="inlineStr">
        <s:is>
          <s:t>Duhet immutable artifact promotion, runtime config/roles, prod migrations, cohort rollout, monitoring dhe rollback/smoke evidence. Localhost nuk është prodhim.</s:t>
        </s:is>
      </s:c>
      <s:c r="J140" s="42" t="inlineStr">
        <s:is>
          <s:t>RG-01,RG-10,RG-13</s:t>
        </s:is>
      </s:c>
      <s:c r="K140" s="42" t="inlineStr">
        <s:is>
          <s:t>Prova e kërkuar nga backlog-u: Deployment checklist + smoke + rollback drill
Kriteri për t'u verifikuar (nuk deklarohet i kaluar): Same tested artifact digest promoted; smoke/SLO clean; feature flags control exposure; rollback drill performed for app.
Pranimi kërkon edhe gate-et: RG-01,RG-10,RG-13. Asnjë gate nuk është shënuar Passed nga ky audit.</s:t>
        </s:is>
      </s:c>
    </s:row>
    <s:row r="141" ht="72" customHeight="1" s="48">
      <s:c r="A141" s="42" t="inlineStr">
        <s:is>
          <s:t>S8-A12</s:t>
        </s:is>
      </s:c>
      <s:c r="B141" s="42" t="inlineStr">
        <s:is>
          <s:t>S8</s:t>
        </s:is>
      </s:c>
      <s:c r="C141" s="42" t="inlineStr">
        <s:is>
          <s:t>P0</s:t>
        </s:is>
      </s:c>
      <s:c r="D141" s="42" t="inlineStr">
        <s:is>
          <s:t>Not Started</s:t>
        </s:is>
      </s:c>
      <s:c r="E141" s="42" t="inlineStr">
        <s:is>
          <s:t>Pa filluar</s:t>
        </s:is>
      </s:c>
      <s:c r="F141" s="42" t="inlineStr">
        <s:is>
          <s:t>Programmer A</s:t>
        </s:is>
      </s:c>
      <s:c r="G141" s="42" t="inlineStr">
        <s:is>
          <s:t>Programmer B</s:t>
        </s:is>
      </s:c>
      <s:c r="H141" s="42" t="inlineStr">
        <s:is>
          <s:t>Validate GA plan cost envelopes under realistic workload</s:t>
        </s:is>
      </s:c>
      <s:c r="I141" s="42" t="inlineStr">
        <s:is>
          <s:t>Nuk ka token/image cost model, approved COGS envelope, reserve ledger ose workload replay/hard-budget evidence. 2.</s:t>
        </s:is>
      </s:c>
      <s:c r="J141" s="42" t="inlineStr">
        <s:is>
          <s:t>RG-18</s:t>
        </s:is>
      </s:c>
      <s:c r="K141" s="42" t="inlineStr">
        <s:is>
          <s:t>Prova e kërkuar nga backlog-u: Replay/load evidence
Kriteri për t'u verifikuar (nuk deklarohet i kaluar): Projected COGS within approved envelope or pricing/limits changed before launch; no unlimited expensive path.
DA-12: Kërkesa paralele, provider timeout/error/duplicate, release vetëm një herë dhe ndalim para tejkalimit të buxhetit; replay i kostove për secilin plan.
Pranimi kërkon edhe gate-et: RG-18. Asnjë gate nuk është shënuar Passed nga ky audit.</s:t>
        </s:is>
      </s:c>
    </s:row>
    <s:row r="142" ht="72" customHeight="1" s="48">
      <s:c r="A142" s="42" t="inlineStr">
        <s:is>
          <s:t>S8-B03</s:t>
        </s:is>
      </s:c>
      <s:c r="B142" s="42" t="inlineStr">
        <s:is>
          <s:t>S8</s:t>
        </s:is>
      </s:c>
      <s:c r="C142" s="42" t="inlineStr">
        <s:is>
          <s:t>P0</s:t>
        </s:is>
      </s:c>
      <s:c r="D142" s="42" t="inlineStr">
        <s:is>
          <s:t>Not Started</s:t>
        </s:is>
      </s:c>
      <s:c r="E142" s="42" t="inlineStr">
        <s:is>
          <s:t>Pa filluar</s:t>
        </s:is>
      </s:c>
      <s:c r="F142" s="42" t="inlineStr">
        <s:is>
          <s:t>Programmer B</s:t>
        </s:is>
      </s:c>
      <s:c r="G142" s="42" t="inlineStr">
        <s:is>
          <s:t>Programmer A</s:t>
        </s:is>
      </s:c>
      <s:c r="H142" s="42" t="inlineStr">
        <s:is>
          <s:t>Coordinate scripted UAT and defect burn-down</s:t>
        </s:is>
      </s:c>
      <s:c r="I142" s="42" t="inlineStr">
        <s:is>
          <s:t>Kryej UAT me biznese përfaqësuese dental/restaurant/real-estate për ciklin e lejuar; lidh defektet me task/gate dhe mbyll P0/P1, me owner/afat për përjashtimet P2.</s:t>
        </s:is>
      </s:c>
      <s:c r="J142" s="42" t="inlineStr">
        <s:is>
          <s:t>RG-14</s:t>
        </s:is>
      </s:c>
      <s:c r="K142" s="42" t="inlineStr">
        <s:is>
          <s:t>Prova e kërkuar nga backlog-u: UAT scripts + regression evidence
Kriteri për t'u verifikuar (nuk deklarohet i kaluar): All P0/P1 defects closed; P2 accepted with owner/target; evidence links to backlog/release gates.
Pranimi kërkon edhe gate-et: RG-14. Asnjë gate nuk është shënuar Passed nga ky audit.</s:t>
        </s:is>
      </s:c>
    </s:row>
    <s:row r="143" ht="72" customHeight="1" s="48">
      <s:c r="A143" s="42" t="inlineStr">
        <s:is>
          <s:t>S8-B04</s:t>
        </s:is>
      </s:c>
      <s:c r="B143" s="42" t="inlineStr">
        <s:is>
          <s:t>S8</s:t>
        </s:is>
      </s:c>
      <s:c r="C143" s="42" t="inlineStr">
        <s:is>
          <s:t>P0</s:t>
        </s:is>
      </s:c>
      <s:c r="D143" s="42" t="inlineStr">
        <s:is>
          <s:t>Not Started</s:t>
        </s:is>
      </s:c>
      <s:c r="E143" s="42" t="inlineStr">
        <s:is>
          <s:t>Pa filluar</s:t>
        </s:is>
      </s:c>
      <s:c r="F143" s="42" t="inlineStr">
        <s:is>
          <s:t>Programmer B</s:t>
        </s:is>
      </s:c>
      <s:c r="G143" s="42" t="inlineStr">
        <s:is>
          <s:t>Programmer A</s:t>
        </s:is>
      </s:c>
      <s:c r="H143" s="42" t="inlineStr">
        <s:is>
          <s:t>Execute production UI smoke and launch checklist</s:t>
        </s:is>
      </s:c>
      <s:c r="I143" s="42" t="inlineStr">
        <s:is>
          <s:t>Pas deploy-it gradual: smoke publik/auth/onboarding/Meta/media/generation/calendar/billing/contact në domenin production, verifiko monitorimin, console dhe cohort flags; ruaj checklist të pranuar.</s:t>
        </s:is>
      </s:c>
      <s:c r="J143" s="42" t="inlineStr">
        <s:is>
          <s:t>RG-14</s:t>
        </s:is>
      </s:c>
      <s:c r="K143" s="42" t="inlineStr">
        <s:is>
          <s:t>Prova e kërkuar nga backlog-u: Production smoke checklist
Kriteri për t'u verifikuar (nuk deklarohet i kaluar): Checklist signed; no console critical errors; analytics/monitoring sees synthetic smoke; feature flags match rollout cohort.
Pranimi kërkon edhe gate-et: RG-14. Asnjë gate nuk është shënuar Passed nga ky audit.</s:t>
        </s:is>
      </s:c>
    </s:row>
    <s:row r="144" ht="72" customHeight="1" s="48">
      <s:c r="A144" s="42" t="inlineStr">
        <s:is>
          <s:t>S3-A06</s:t>
        </s:is>
      </s:c>
      <s:c r="B144" s="42" t="inlineStr">
        <s:is>
          <s:t>S3</s:t>
        </s:is>
      </s:c>
      <s:c r="C144" s="42" t="inlineStr">
        <s:is>
          <s:t>P1</s:t>
        </s:is>
      </s:c>
      <s:c r="D144" s="42" t="inlineStr">
        <s:is>
          <s:t>Not Started</s:t>
        </s:is>
      </s:c>
      <s:c r="E144" s="42" t="inlineStr">
        <s:is>
          <s:t>Pa filluar</s:t>
        </s:is>
      </s:c>
      <s:c r="F144" s="42" t="inlineStr">
        <s:is>
          <s:t>Programmer B</s:t>
        </s:is>
      </s:c>
      <s:c r="G144" s="42" t="inlineStr">
        <s:is>
          <s:t>Programmer A</s:t>
        </s:is>
      </s:c>
      <s:c r="H144" s="42" t="inlineStr">
        <s:is>
          <s:t>Implement asset analysis and semantic retrieval</s:t>
        </s:is>
      </s:c>
      <s:c r="I144" s="42" t="inlineStr">
        <s:is>
          <s:t>Implemento analizë të asset-it me tags/quality dhe embeddings kur aktivizohen; retrieval me filtra tenant/brand/type/orientation dhe ulje të materialeve të mbipërdorura. Provo relevance dhe izolimin.</s:t>
        </s:is>
      </s:c>
      <s:c r="J144" s="42" t="inlineStr">
        <s:is>
          <s:t>RG-05,RG-06</s:t>
        </s:is>
      </s:c>
      <s:c r="K144" s="42" t="inlineStr">
        <s:is>
          <s:t>Prova e kërkuar nga backlog-u: Retrieval relevance + tenant tests
Kriteri për t'u verifikuar (nuk deklarohet i kaluar): Search respects org/brand/type/orientation; recently overused asset can be penalized; no cross-tenant result.
Pranimi kërkon edhe gate-et: RG-05,RG-06. Asnjë gate nuk është shënuar Passed nga ky audit.</s:t>
        </s:is>
      </s:c>
    </s:row>
    <s:row r="145" ht="72" customHeight="1" s="48">
      <s:c r="A145" s="42" t="inlineStr">
        <s:is>
          <s:t>S4-A08</s:t>
        </s:is>
      </s:c>
      <s:c r="B145" s="42" t="inlineStr">
        <s:is>
          <s:t>S4</s:t>
        </s:is>
      </s:c>
      <s:c r="C145" s="42" t="inlineStr">
        <s:is>
          <s:t>P1</s:t>
        </s:is>
      </s:c>
      <s:c r="D145" s="42" t="inlineStr">
        <s:is>
          <s:t>Not Started</s:t>
        </s:is>
      </s:c>
      <s:c r="E145" s="42" t="inlineStr">
        <s:is>
          <s:t>Pa filluar</s:t>
        </s:is>
      </s:c>
      <s:c r="F145" s="42" t="inlineStr">
        <s:is>
          <s:t>Programmer A</s:t>
        </s:is>
      </s:c>
      <s:c r="G145" s="42" t="inlineStr">
        <s:is>
          <s:t>Programmer B</s:t>
        </s:is>
      </s:c>
      <s:c r="H145" s="42" t="inlineStr">
        <s:is>
          <s:t>Implement in-app notification domain/delivery queue</s:t>
        </s:is>
      </s:c>
      <s:c r="I145" s="42" t="inlineStr">
        <s:is>
          <s:t>Krijo notification dhe delivery records për approval/failure/reconnect/quota; cakto marrësin sipas lejeve, dedupe eventesh dhe retry email jashtë transaksionit të postimit.</s:t>
        </s:is>
      </s:c>
      <s:c r="J145" s="42" t="inlineStr">
        <s:is>
          <s:t>RG-10</s:t>
        </s:is>
      </s:c>
      <s:c r="K145" s="42" t="inlineStr">
        <s:is>
          <s:t>Prova e kërkuar nga backlog-u: Dedupe/retry/recipient tests
Kriteri për t'u verifikuar (nuk deklarohet i kaluar): Duplicate event does not spam; recipient role scoped; email failure retries independently from business transaction.
Pranimi kërkon edhe gate-et: RG-10. Asnjë gate nuk është shënuar Passed nga ky audit.</s:t>
        </s:is>
      </s:c>
    </s:row>
    <s:row r="146" ht="72" customHeight="1" s="48">
      <s:c r="A146" s="42" t="inlineStr">
        <s:is>
          <s:t>S4-B09</s:t>
        </s:is>
      </s:c>
      <s:c r="B146" s="42" t="inlineStr">
        <s:is>
          <s:t>S4</s:t>
        </s:is>
      </s:c>
      <s:c r="C146" s="42" t="inlineStr">
        <s:is>
          <s:t>P1</s:t>
        </s:is>
      </s:c>
      <s:c r="D146" s="42" t="inlineStr">
        <s:is>
          <s:t>Not Started</s:t>
        </s:is>
      </s:c>
      <s:c r="E146" s="42" t="inlineStr">
        <s:is>
          <s:t>Pa filluar</s:t>
        </s:is>
      </s:c>
      <s:c r="F146" s="42" t="inlineStr">
        <s:is>
          <s:t>Programmer B</s:t>
        </s:is>
      </s:c>
      <s:c r="G146" s="42" t="inlineStr">
        <s:is>
          <s:t>Programmer A</s:t>
        </s:is>
      </s:c>
      <s:c r="H146" s="42" t="inlineStr">
        <s:is>
          <s:t>Run closed-beta usability/polish pass</s:t>
        </s:is>
      </s:c>
      <s:c r="I146" s="42" t="inlineStr">
        <s:is>
          <s:t>Kryej walkthrough të scriptuar me 5 biznese përfaqësuese, regjistro vështirësitë në navigim/gjuhë/orar dhe mbyll P0/P1; cakto owner/afat për P2.</s:t>
        </s:is>
      </s:c>
      <s:c r="J146" s="42" t="inlineStr">
        <s:is>
          <s:t>RG-14</s:t>
        </s:is>
      </s:c>
      <s:c r="K146" s="42" t="inlineStr">
        <s:is>
          <s:t>Prova e kërkuar nga backlog-u: Manual scripted UAT + regression
Kriteri për t'u verifikuar (nuk deklarohet i kaluar): No P0/P1 UX blocker in scripted walkthrough; known P2 issues logged with task IDs.
Pranimi kërkon edhe gate-et: RG-14. Asnjë gate nuk është shënuar Passed nga ky audit.</s:t>
        </s:is>
      </s:c>
    </s:row>
    <s:row r="147" ht="72" customHeight="1" s="48">
      <s:c r="A147" s="42" t="inlineStr">
        <s:is>
          <s:t>S6-B01</s:t>
        </s:is>
      </s:c>
      <s:c r="B147" s="42" t="inlineStr">
        <s:is>
          <s:t>S6</s:t>
        </s:is>
      </s:c>
      <s:c r="C147" s="42" t="inlineStr">
        <s:is>
          <s:t>P1</s:t>
        </s:is>
      </s:c>
      <s:c r="D147" s="42" t="inlineStr">
        <s:is>
          <s:t>Not Started</s:t>
        </s:is>
      </s:c>
      <s:c r="E147" s="42" t="inlineStr">
        <s:is>
          <s:t>Pa filluar</s:t>
        </s:is>
      </s:c>
      <s:c r="F147" s="42" t="inlineStr">
        <s:is>
          <s:t>Programmer B</s:t>
        </s:is>
      </s:c>
      <s:c r="G147" s="42" t="inlineStr">
        <s:is>
          <s:t>Programmer A</s:t>
        </s:is>
      </s:c>
      <s:c r="H147" s="42" t="inlineStr">
        <s:is>
          <s:t>Build minimum support/admin console</s:t>
        </s:is>
      </s:c>
      <s:c r="I147" s="42" t="inlineStr">
        <s:is>
          <s:t>Ndërto UI të brendshme për kërkim biznesi me ID të sigurta, connection health, jobs/attempts dhe audit references. Veprimet support kërkojnë leje/arsye/audit; mos ekspozo tokenë.</s:t>
        </s:is>
      </s:c>
      <s:c r="J147" s="42" t="inlineStr">
        <s:is>
          <s:t>RG-10,RG-12</s:t>
        </s:is>
      </s:c>
      <s:c r="K147" s="42" t="inlineStr">
        <s:is>
          <s:t>Prova e kërkuar nga backlog-u: Role/audit E2E tests
Kriteri për t'u verifikuar (nuk deklarohet i kaluar): Support cannot view plaintext tokens; all privileged actions audited; tenant content access minimized/read-only by default.
Pranimi kërkon edhe gate-et: RG-10,RG-12. Asnjë gate nuk është shënuar Passed nga ky audit.</s:t>
        </s:is>
      </s:c>
    </s:row>
    <s:row r="148" ht="72" customHeight="1" s="48">
      <s:c r="A148" s="42" t="inlineStr">
        <s:is>
          <s:t>S6-B07</s:t>
        </s:is>
      </s:c>
      <s:c r="B148" s="42" t="inlineStr">
        <s:is>
          <s:t>S6</s:t>
        </s:is>
      </s:c>
      <s:c r="C148" s="42" t="inlineStr">
        <s:is>
          <s:t>P1</s:t>
        </s:is>
      </s:c>
      <s:c r="D148" s="42" t="inlineStr">
        <s:is>
          <s:t>Not Started</s:t>
        </s:is>
      </s:c>
      <s:c r="E148" s="42" t="inlineStr">
        <s:is>
          <s:t>Pa filluar</s:t>
        </s:is>
      </s:c>
      <s:c r="F148" s="42" t="inlineStr">
        <s:is>
          <s:t>Programmer B</s:t>
        </s:is>
      </s:c>
      <s:c r="G148" s="42" t="inlineStr">
        <s:is>
          <s:t>Programmer A</s:t>
        </s:is>
      </s:c>
      <s:c r="H148" s="42" t="inlineStr">
        <s:is>
          <s:t>Validate activation funnel telemetry</s:t>
        </s:is>
      </s:c>
      <s:c r="I148" s="42" t="inlineStr">
        <s:is>
          <s:t>Pas wrapper-it të eventeve: verifiko signup→business→upload→brain→draft dhe degën opsionale connect→publish; ndërto query funnel dhe mat humbje/dyfishim pa PII/prompt/content.</s:t>
        </s:is>
      </s:c>
      <s:c r="J148" s="42" t="inlineStr">
        <s:is>
          <s:t>RG-09</s:t>
        </s:is>
      </s:c>
      <s:c r="K148" s="42" t="inlineStr">
        <s:is>
          <s:t>Prova e kërkuar nga backlog-u: Event schema/sample audit
Kriteri për t'u verifikuar (nuk deklarohet i kaluar): No content/prompt/PII in payload; event loss/duplication within accepted semantics; funnel can be computed.
Pranimi kërkon edhe gate-et: RG-09. Asnjë gate nuk është shënuar Passed nga ky audit.</s:t>
        </s:is>
      </s:c>
    </s:row>
    <s:row r="149" ht="72" customHeight="1" s="48">
      <s:c r="A149" s="42" t="inlineStr">
        <s:is>
          <s:t>S6-B14</s:t>
        </s:is>
      </s:c>
      <s:c r="B149" s="42" t="inlineStr">
        <s:is>
          <s:t>S6</s:t>
        </s:is>
      </s:c>
      <s:c r="C149" s="42" t="inlineStr">
        <s:is>
          <s:t>P1</s:t>
        </s:is>
      </s:c>
      <s:c r="D149" s="42" t="inlineStr">
        <s:is>
          <s:t>Not Started</s:t>
        </s:is>
      </s:c>
      <s:c r="E149" s="42" t="inlineStr">
        <s:is>
          <s:t>Pa filluar</s:t>
        </s:is>
      </s:c>
      <s:c r="F149" s="42" t="inlineStr">
        <s:is>
          <s:t>Programmer B</s:t>
        </s:is>
      </s:c>
      <s:c r="G149" s="42" t="inlineStr">
        <s:is>
          <s:t>Programmer A</s:t>
        </s:is>
      </s:c>
      <s:c r="H149" s="42" t="inlineStr">
        <s:is>
          <s:t>Create global AI Marketing Copilot shell</s:t>
        </s:is>
      </s:c>
      <s:c r="I149" s="42" t="inlineStr">
        <s:is>
          <s:t>Ndërto ChatMessages/ChatPrompt/ChatTool shell me typed proposals, konfirmim dhe link te drafti/artefakti; failure/abort nuk humbet punën. CopilotPanel aktual është vetëm udhëzim statik.</s:t>
        </s:is>
      </s:c>
      <s:c r="J149" s="42" t="inlineStr">
        <s:is>
          <s:t>RG-16,RG-17</s:t>
        </s:is>
      </s:c>
      <s:c r="K149" s="42" t="inlineStr">
        <s:is>
          <s:t>Prova e kërkuar nga backlog-u: E2E + safety fixtures
Kriteri për t'u verifikuar (nuk deklarohet i kaluar): Tool action that changes state requires visible confirmation or normal domain workflow; chat failure never loses underlying draft.
Pranimi kërkon edhe gate-et: RG-16,RG-17. Asnjë gate nuk është shënuar Passed nga ky audit.</s:t>
        </s:is>
      </s:c>
    </s:row>
    <s:row r="150" ht="72" customHeight="1" s="48">
      <s:c r="A150" s="42" t="inlineStr">
        <s:is>
          <s:t>S7-A08</s:t>
        </s:is>
      </s:c>
      <s:c r="B150" s="42" t="inlineStr">
        <s:is>
          <s:t>S7</s:t>
        </s:is>
      </s:c>
      <s:c r="C150" s="42" t="inlineStr">
        <s:is>
          <s:t>P1</s:t>
        </s:is>
      </s:c>
      <s:c r="D150" s="42" t="inlineStr">
        <s:is>
          <s:t>Not Started</s:t>
        </s:is>
      </s:c>
      <s:c r="E150" s="42" t="inlineStr">
        <s:is>
          <s:t>Pa filluar</s:t>
        </s:is>
      </s:c>
      <s:c r="F150" s="42" t="inlineStr">
        <s:is>
          <s:t>Programmer A</s:t>
        </s:is>
      </s:c>
      <s:c r="G150" s="42" t="inlineStr">
        <s:is>
          <s:t>Programmer B</s:t>
        </s:is>
      </s:c>
      <s:c r="H150" s="42" t="inlineStr">
        <s:is>
          <s:t>Add model/prompt/policy canary promotion workflow</s:t>
        </s:is>
      </s:c>
      <s:c r="I150" s="42" t="inlineStr">
        <s:is>
          <s:t>Krijo candidate/current version registry për model/prompt/policy, eval evidence, change reason dhe rollback pointer; cohort canary para promotion global dhe version në job records.</s:t>
        </s:is>
      </s:c>
      <s:c r="J150" s="42" t="inlineStr">
        <s:is>
          <s:t>RG-06,RG-16</s:t>
        </s:is>
      </s:c>
      <s:c r="K150" s="42" t="inlineStr">
        <s:is>
          <s:t>Prova e kërkuar nga backlog-u: Eval gate + rollback test
Kriteri për t'u verifikuar (nuk deklarohet i kaluar): Production promotion requires threshold evidence; rollback restores previous route without data migration; version visible in job records.
Pranimi kërkon edhe gate-et: RG-06,RG-16. Asnjë gate nuk është shënuar Passed nga ky audit.</s:t>
        </s:is>
      </s:c>
    </s:row>
    <s:row r="151" ht="72" customHeight="1" s="48">
      <s:c r="A151" s="42" t="inlineStr">
        <s:is>
          <s:t>S1-B09</s:t>
        </s:is>
      </s:c>
      <s:c r="B151" s="42" t="inlineStr">
        <s:is>
          <s:t>S1</s:t>
        </s:is>
      </s:c>
      <s:c r="C151" s="42" t="inlineStr">
        <s:is>
          <s:t>P2</s:t>
        </s:is>
      </s:c>
      <s:c r="D151" s="42" t="inlineStr">
        <s:is>
          <s:t>Not Started</s:t>
        </s:is>
      </s:c>
      <s:c r="E151" s="42" t="inlineStr">
        <s:is>
          <s:t>Pa filluar</s:t>
        </s:is>
      </s:c>
      <s:c r="F151" s="42" t="inlineStr">
        <s:is>
          <s:t>Programmer B</s:t>
        </s:is>
      </s:c>
      <s:c r="G151" s="42" t="inlineStr">
        <s:is>
          <s:t>Programmer A</s:t>
        </s:is>
      </s:c>
      <s:c r="H151" s="42" t="inlineStr">
        <s:is>
          <s:t>Define privacy-safe product event taxonomy</s:t>
        </s:is>
      </s:c>
      <s:c r="I151" s="42" t="inlineStr">
        <s:is>
          <s:t>Përcakto schema eventesh për onboarding/activation, IDs pseudonime dhe environment; zbato wrapper me allowlist dhe teste që refuzojnë email/tekst/post/prompt në payload.</s:t>
        </s:is>
      </s:c>
      <s:c r="J151" s="42" t="inlineStr">
        <s:is>
          <s:t>RG-09</s:t>
        </s:is>
      </s:c>
      <s:c r="K151" s="42" t="inlineStr">
        <s:is>
          <s:t>Prova e kërkuar nga backlog-u: Event payload unit tests
Kriteri për t'u verifikuar (nuk deklarohet i kaluar): Events have stable schema, org/user pseudonymous IDs, environment tag; forbidden properties tested.
Pranimi kërkon edhe gate-et: RG-09. Asnjë gate nuk është shënuar Passed nga ky audit.</s:t>
        </s:is>
      </s:c>
    </s:row>
  </s:sheetData>
  <s:autoFilter ref="A1:K151"/>
  <s:pageMargins left="0.75" right="0.75" top="1" bottom="1" header="0.5" footer="0.5"/>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2026-09-05T02:02:48Z</dcterms:created>
  <dcterms:modified xsi:type="dcterms:W3CDTF">2026-09-09T14:35:13Z</dcterms:modified>
  <cp:lastModifiedBy>Guest User</cp:lastModifiedBy>
</cp:coreProperties>
</file>